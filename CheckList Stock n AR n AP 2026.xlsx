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TV\debug\"/>
    </mc:Choice>
  </mc:AlternateContent>
  <xr:revisionPtr revIDLastSave="0" documentId="8_{0187B8F8-3309-49D0-AFBF-57CF40F93F81}" xr6:coauthVersionLast="40" xr6:coauthVersionMax="40" xr10:uidLastSave="{00000000-0000-0000-0000-000000000000}"/>
  <bookViews>
    <workbookView xWindow="0" yWindow="0" windowWidth="23040" windowHeight="9048" xr2:uid="{B76A8C57-3A85-4D39-8CA5-44D052BC3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7" i="1" l="1"/>
  <c r="I95" i="1"/>
  <c r="I93" i="1"/>
  <c r="I91" i="1"/>
  <c r="I89" i="1"/>
  <c r="I87" i="1"/>
  <c r="I85" i="1"/>
  <c r="D84" i="1"/>
  <c r="I83" i="1"/>
  <c r="D83" i="1"/>
  <c r="D82" i="1"/>
  <c r="I81" i="1"/>
  <c r="D81" i="1"/>
  <c r="D80" i="1"/>
  <c r="I79" i="1"/>
  <c r="D79" i="1"/>
  <c r="D78" i="1"/>
  <c r="I77" i="1"/>
  <c r="D77" i="1"/>
  <c r="D76" i="1"/>
  <c r="I75" i="1"/>
  <c r="D75" i="1"/>
  <c r="D74" i="1"/>
  <c r="I73" i="1"/>
  <c r="D73" i="1"/>
  <c r="D72" i="1"/>
  <c r="T64" i="1"/>
  <c r="I64" i="1"/>
  <c r="D64" i="1"/>
  <c r="T63" i="1"/>
  <c r="I63" i="1"/>
  <c r="D63" i="1"/>
  <c r="T62" i="1"/>
  <c r="I62" i="1"/>
  <c r="D62" i="1"/>
  <c r="T61" i="1"/>
  <c r="I61" i="1"/>
  <c r="D61" i="1"/>
  <c r="T60" i="1"/>
  <c r="I60" i="1"/>
  <c r="D60" i="1"/>
  <c r="T59" i="1"/>
  <c r="I59" i="1"/>
  <c r="D59" i="1"/>
  <c r="T58" i="1"/>
  <c r="I58" i="1"/>
  <c r="D58" i="1"/>
  <c r="T57" i="1"/>
  <c r="I57" i="1"/>
  <c r="D57" i="1"/>
  <c r="T56" i="1"/>
  <c r="I56" i="1"/>
  <c r="D56" i="1"/>
  <c r="T55" i="1"/>
  <c r="I55" i="1"/>
  <c r="D55" i="1"/>
  <c r="T54" i="1"/>
  <c r="I54" i="1"/>
  <c r="D54" i="1"/>
  <c r="T53" i="1"/>
  <c r="I53" i="1"/>
  <c r="D53" i="1"/>
  <c r="T49" i="1"/>
  <c r="N49" i="1"/>
  <c r="I49" i="1"/>
  <c r="D49" i="1"/>
  <c r="T48" i="1"/>
  <c r="N48" i="1"/>
  <c r="I48" i="1"/>
  <c r="D48" i="1"/>
  <c r="T47" i="1"/>
  <c r="N47" i="1"/>
  <c r="I47" i="1"/>
  <c r="D47" i="1"/>
  <c r="T46" i="1"/>
  <c r="N46" i="1"/>
  <c r="I46" i="1"/>
  <c r="D46" i="1"/>
  <c r="T45" i="1"/>
  <c r="N45" i="1"/>
  <c r="I45" i="1"/>
  <c r="D45" i="1"/>
  <c r="T44" i="1"/>
  <c r="N44" i="1"/>
  <c r="I44" i="1"/>
  <c r="D44" i="1"/>
  <c r="T43" i="1"/>
  <c r="N43" i="1"/>
  <c r="I43" i="1"/>
  <c r="D43" i="1"/>
  <c r="T42" i="1"/>
  <c r="N42" i="1"/>
  <c r="I42" i="1"/>
  <c r="D42" i="1"/>
  <c r="T41" i="1"/>
  <c r="N41" i="1"/>
  <c r="I41" i="1"/>
  <c r="D41" i="1"/>
  <c r="T40" i="1"/>
  <c r="N40" i="1"/>
  <c r="I40" i="1"/>
  <c r="D40" i="1"/>
  <c r="T39" i="1"/>
  <c r="N39" i="1"/>
  <c r="I39" i="1"/>
  <c r="D39" i="1"/>
  <c r="T38" i="1"/>
  <c r="N38" i="1"/>
  <c r="I38" i="1"/>
  <c r="D38" i="1"/>
  <c r="T34" i="1"/>
  <c r="N34" i="1"/>
  <c r="I34" i="1"/>
  <c r="D34" i="1"/>
  <c r="T33" i="1"/>
  <c r="N33" i="1"/>
  <c r="I33" i="1"/>
  <c r="D33" i="1"/>
  <c r="T32" i="1"/>
  <c r="N32" i="1"/>
  <c r="I32" i="1"/>
  <c r="D32" i="1"/>
  <c r="T31" i="1"/>
  <c r="N31" i="1"/>
  <c r="I31" i="1"/>
  <c r="D31" i="1"/>
  <c r="T30" i="1"/>
  <c r="N30" i="1"/>
  <c r="I30" i="1"/>
  <c r="D30" i="1"/>
  <c r="T29" i="1"/>
  <c r="N29" i="1"/>
  <c r="I29" i="1"/>
  <c r="D29" i="1"/>
  <c r="T28" i="1"/>
  <c r="N28" i="1"/>
  <c r="I28" i="1"/>
  <c r="D28" i="1"/>
  <c r="T27" i="1"/>
  <c r="N27" i="1"/>
  <c r="I27" i="1"/>
  <c r="D27" i="1"/>
  <c r="T26" i="1"/>
  <c r="N26" i="1"/>
  <c r="I26" i="1"/>
  <c r="D26" i="1"/>
  <c r="T25" i="1"/>
  <c r="N25" i="1"/>
  <c r="I25" i="1"/>
  <c r="D25" i="1"/>
  <c r="T24" i="1"/>
  <c r="N24" i="1"/>
  <c r="I24" i="1"/>
  <c r="D24" i="1"/>
  <c r="T23" i="1"/>
  <c r="N23" i="1"/>
  <c r="I23" i="1"/>
  <c r="D23" i="1"/>
  <c r="T19" i="1"/>
  <c r="N19" i="1"/>
  <c r="I19" i="1"/>
  <c r="D19" i="1"/>
  <c r="T18" i="1"/>
  <c r="N18" i="1"/>
  <c r="I18" i="1"/>
  <c r="D18" i="1"/>
  <c r="T17" i="1"/>
  <c r="N17" i="1"/>
  <c r="I17" i="1"/>
  <c r="D17" i="1"/>
  <c r="T16" i="1"/>
  <c r="N16" i="1"/>
  <c r="I16" i="1"/>
  <c r="D16" i="1"/>
  <c r="T15" i="1"/>
  <c r="N15" i="1"/>
  <c r="I15" i="1"/>
  <c r="D15" i="1"/>
  <c r="T14" i="1"/>
  <c r="N14" i="1"/>
  <c r="I14" i="1"/>
  <c r="D14" i="1"/>
  <c r="T13" i="1"/>
  <c r="N13" i="1"/>
  <c r="I13" i="1"/>
  <c r="D13" i="1"/>
  <c r="T12" i="1"/>
  <c r="N12" i="1"/>
  <c r="I12" i="1"/>
  <c r="D12" i="1"/>
  <c r="T11" i="1"/>
  <c r="N11" i="1"/>
  <c r="I11" i="1"/>
  <c r="D11" i="1"/>
  <c r="T10" i="1"/>
  <c r="N10" i="1"/>
  <c r="I10" i="1"/>
  <c r="D10" i="1"/>
  <c r="T9" i="1"/>
  <c r="N9" i="1"/>
  <c r="I9" i="1"/>
  <c r="D9" i="1"/>
  <c r="T8" i="1"/>
  <c r="N8" i="1"/>
  <c r="I8" i="1"/>
  <c r="D8" i="1"/>
</calcChain>
</file>

<file path=xl/sharedStrings.xml><?xml version="1.0" encoding="utf-8"?>
<sst xmlns="http://schemas.openxmlformats.org/spreadsheetml/2006/main" count="295" uniqueCount="39">
  <si>
    <t>CHECK LIST PERSEDIAAN</t>
  </si>
  <si>
    <t>Tahun : 2026</t>
  </si>
  <si>
    <t>TR</t>
  </si>
  <si>
    <t>MUTASI STOK</t>
  </si>
  <si>
    <t>LEDGER</t>
  </si>
  <si>
    <t>Check</t>
  </si>
  <si>
    <t>BCS</t>
  </si>
  <si>
    <t>TS</t>
  </si>
  <si>
    <t>NDS</t>
  </si>
  <si>
    <t>Jan</t>
  </si>
  <si>
    <t>Peb</t>
  </si>
  <si>
    <t>Mar</t>
  </si>
  <si>
    <t>Apr</t>
  </si>
  <si>
    <t>Mei</t>
  </si>
  <si>
    <t>Jun</t>
  </si>
  <si>
    <t>Jul</t>
  </si>
  <si>
    <t>Aug</t>
  </si>
  <si>
    <t>Sep</t>
  </si>
  <si>
    <t>Okt</t>
  </si>
  <si>
    <t>Nop</t>
  </si>
  <si>
    <t>Des</t>
  </si>
  <si>
    <t>NR</t>
  </si>
  <si>
    <t>FUS</t>
  </si>
  <si>
    <t>TL</t>
  </si>
  <si>
    <t>TY</t>
  </si>
  <si>
    <t>TB</t>
  </si>
  <si>
    <t>TA</t>
  </si>
  <si>
    <t>L</t>
  </si>
  <si>
    <t>FS</t>
  </si>
  <si>
    <t>TYU</t>
  </si>
  <si>
    <t>WIP</t>
  </si>
  <si>
    <t>LA</t>
  </si>
  <si>
    <t>OS</t>
  </si>
  <si>
    <t>Bekasi, …………………….</t>
  </si>
  <si>
    <t>CHECK LIST PIUTANG DAGANG</t>
  </si>
  <si>
    <t>CHECK LIST HUTANG DAGANG</t>
  </si>
  <si>
    <t>AR</t>
  </si>
  <si>
    <t>OPNAME FAKTUR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</si>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</sst>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2" fillId="0" borderId="1" xfId="0" quotePrefix="1" applyNumberFormat="1" applyFont="1" applyBorder="1" applyAlignment="1">
      <alignment horizontal="center" vertical="center"/>
    </xf>
    <xf numFmtId="40" fontId="3" fillId="0" borderId="1" xfId="0" applyNumberFormat="1" applyFont="1" applyBorder="1" applyAlignment="1">
      <alignment vertical="center"/>
    </xf>
    <xf numFmtId="40" fontId="0" fillId="0" borderId="0" xfId="0" applyNumberFormat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40" fontId="3" fillId="4" borderId="1" xfId="0" applyNumberFormat="1" applyFont="1" applyFill="1" applyBorder="1" applyAlignment="1">
      <alignment vertical="center"/>
    </xf>
    <xf numFmtId="40" fontId="3" fillId="2" borderId="1" xfId="0" applyNumberFormat="1" applyFont="1" applyFill="1" applyBorder="1" applyAlignment="1">
      <alignment vertical="center"/>
    </xf>
    <xf numFmtId="40" fontId="3" fillId="0" borderId="2" xfId="0" applyNumberFormat="1" applyFont="1" applyBorder="1" applyAlignment="1">
      <alignment vertical="center"/>
    </xf>
    <xf numFmtId="40" fontId="3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0" fontId="3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AA78-5086-4CEE-9B74-52068CF40A13}">
  <dimension ref="A3:T97"/>
  <sheetViews>
    <sheetView tabSelected="1" topLeftCell="A82" workbookViewId="0">
      <selection activeCell="L57" sqref="L57"/>
    </sheetView>
  </sheetViews>
  <sheetFormatPr defaultColWidth="8.6640625" defaultRowHeight="14.4" x14ac:dyDescent="0.3"/>
  <cols>
    <col min="1" max="1" width="8.6640625" style="1"/>
    <col min="2" max="2" width="16.44140625" style="1" customWidth="1"/>
    <col min="3" max="3" width="16.109375" style="1" customWidth="1"/>
    <col min="4" max="4" width="13.5546875" style="1" customWidth="1"/>
    <col min="5" max="5" width="0.88671875" style="1" customWidth="1"/>
    <col min="6" max="6" width="8.44140625" style="1" customWidth="1"/>
    <col min="7" max="8" width="16.44140625" style="1" customWidth="1"/>
    <col min="9" max="9" width="14.6640625" style="1" bestFit="1" customWidth="1"/>
    <col min="10" max="10" width="0.6640625" style="1" customWidth="1"/>
    <col min="11" max="11" width="7.88671875" style="1" customWidth="1"/>
    <col min="12" max="13" width="15.5546875" style="1" customWidth="1"/>
    <col min="14" max="14" width="13.44140625" style="1" customWidth="1"/>
    <col min="15" max="15" width="1" style="1" customWidth="1"/>
    <col min="16" max="16" width="8.6640625" style="1" hidden="1" customWidth="1"/>
    <col min="17" max="17" width="8.6640625" style="1"/>
    <col min="18" max="18" width="16.33203125" style="1" customWidth="1"/>
    <col min="19" max="19" width="16.88671875" style="1" customWidth="1"/>
    <col min="20" max="16384" width="8.6640625" style="1"/>
  </cols>
  <sheetData>
    <row r="3" spans="1:20" x14ac:dyDescent="0.3">
      <c r="A3" s="1" t="s">
        <v>0</v>
      </c>
    </row>
    <row r="4" spans="1:20" x14ac:dyDescent="0.3">
      <c r="A4" s="2" t="s">
        <v>1</v>
      </c>
    </row>
    <row r="6" spans="1:20" x14ac:dyDescent="0.3">
      <c r="A6" s="3" t="s">
        <v>2</v>
      </c>
      <c r="B6" s="4" t="s">
        <v>3</v>
      </c>
      <c r="C6" s="4" t="s">
        <v>4</v>
      </c>
      <c r="D6" s="4" t="s">
        <v>5</v>
      </c>
      <c r="F6" s="5" t="s">
        <v>6</v>
      </c>
      <c r="G6" s="4" t="s">
        <v>3</v>
      </c>
      <c r="H6" s="4" t="s">
        <v>4</v>
      </c>
      <c r="I6" s="4" t="s">
        <v>5</v>
      </c>
      <c r="K6" s="6" t="s">
        <v>7</v>
      </c>
      <c r="L6" s="4" t="s">
        <v>3</v>
      </c>
      <c r="M6" s="4" t="s">
        <v>4</v>
      </c>
      <c r="N6" s="4" t="s">
        <v>5</v>
      </c>
      <c r="Q6" s="6" t="s">
        <v>8</v>
      </c>
      <c r="R6" s="4" t="s">
        <v>3</v>
      </c>
      <c r="S6" s="4" t="s">
        <v>4</v>
      </c>
      <c r="T6" s="4" t="s">
        <v>5</v>
      </c>
    </row>
    <row r="7" spans="1:20" ht="3" customHeight="1" x14ac:dyDescent="0.3">
      <c r="A7" s="7"/>
      <c r="B7" s="7"/>
      <c r="C7" s="7"/>
      <c r="D7" s="7"/>
      <c r="F7" s="7"/>
      <c r="G7" s="7"/>
      <c r="H7" s="7"/>
      <c r="I7" s="7"/>
      <c r="K7" s="7"/>
      <c r="L7" s="7"/>
      <c r="M7" s="7"/>
      <c r="N7" s="7"/>
      <c r="Q7" s="7"/>
      <c r="R7" s="7"/>
      <c r="S7" s="7"/>
      <c r="T7" s="7"/>
    </row>
    <row r="8" spans="1:20" ht="11.1" customHeight="1" x14ac:dyDescent="0.3">
      <c r="A8" s="8" t="s">
        <v>9</v>
      </c>
      <c r="B8" s="9">
        <v>9072336890.7399998</v>
      </c>
      <c r="C8" s="9">
        <v>9072336891.1900005</v>
      </c>
      <c r="D8" s="9">
        <f>+B8-C8</f>
        <v>-0.45000076293945313</v>
      </c>
      <c r="E8" s="10"/>
      <c r="F8" s="8" t="s">
        <v>9</v>
      </c>
      <c r="G8" s="9">
        <v>886500519.75</v>
      </c>
      <c r="H8" s="9">
        <v>886500519.74000001</v>
      </c>
      <c r="I8" s="9">
        <f t="shared" ref="I8:I19" si="0">+G8-H8</f>
        <v>9.9999904632568359E-3</v>
      </c>
      <c r="K8" s="8" t="s">
        <v>9</v>
      </c>
      <c r="L8" s="9">
        <v>7088013692.8000002</v>
      </c>
      <c r="M8" s="9">
        <v>7088013687.4700003</v>
      </c>
      <c r="N8" s="9">
        <f t="shared" ref="N8:N19" si="1">+L8-M8</f>
        <v>5.3299999237060547</v>
      </c>
      <c r="Q8" s="8" t="s">
        <v>9</v>
      </c>
      <c r="R8" s="9">
        <v>138764938.41</v>
      </c>
      <c r="S8" s="9">
        <v>138764938.30000001</v>
      </c>
      <c r="T8" s="9">
        <f t="shared" ref="T8:T19" si="2">+R8-S8</f>
        <v>0.10999998450279236</v>
      </c>
    </row>
    <row r="9" spans="1:20" ht="11.1" customHeight="1" x14ac:dyDescent="0.3">
      <c r="A9" s="11" t="s">
        <v>10</v>
      </c>
      <c r="B9" s="9">
        <v>14201237761.870001</v>
      </c>
      <c r="C9" s="9">
        <v>14201237762.33</v>
      </c>
      <c r="D9" s="9">
        <f>+B9-C9</f>
        <v>-0.45999908447265625</v>
      </c>
      <c r="E9" s="10"/>
      <c r="F9" s="11" t="s">
        <v>10</v>
      </c>
      <c r="G9" s="9">
        <v>886500519.75</v>
      </c>
      <c r="H9" s="9">
        <v>886500519.74000001</v>
      </c>
      <c r="I9" s="9">
        <f t="shared" si="0"/>
        <v>9.9999904632568359E-3</v>
      </c>
      <c r="K9" s="11" t="s">
        <v>10</v>
      </c>
      <c r="L9" s="9">
        <v>6819553178.8400002</v>
      </c>
      <c r="M9" s="9">
        <v>6819553173.5500002</v>
      </c>
      <c r="N9" s="9">
        <f t="shared" si="1"/>
        <v>5.2899999618530273</v>
      </c>
      <c r="Q9" s="11" t="s">
        <v>10</v>
      </c>
      <c r="R9" s="9">
        <v>136055629.88</v>
      </c>
      <c r="S9" s="9">
        <v>136055629.77000001</v>
      </c>
      <c r="T9" s="9">
        <f t="shared" si="2"/>
        <v>0.10999998450279236</v>
      </c>
    </row>
    <row r="10" spans="1:20" ht="11.1" customHeight="1" x14ac:dyDescent="0.3">
      <c r="A10" s="11" t="s">
        <v>11</v>
      </c>
      <c r="B10" s="9">
        <v>10138372172.450001</v>
      </c>
      <c r="C10" s="9">
        <v>10138372172.92</v>
      </c>
      <c r="D10" s="9">
        <f t="shared" ref="D10:D19" si="3">+B10-C10</f>
        <v>-0.46999931335449219</v>
      </c>
      <c r="E10" s="10"/>
      <c r="F10" s="11" t="s">
        <v>11</v>
      </c>
      <c r="G10" s="9">
        <v>1733706800.0699999</v>
      </c>
      <c r="H10" s="9">
        <v>1733706800.0599999</v>
      </c>
      <c r="I10" s="9">
        <f t="shared" si="0"/>
        <v>9.9999904632568359E-3</v>
      </c>
      <c r="K10" s="11" t="s">
        <v>11</v>
      </c>
      <c r="L10" s="9">
        <v>6654871904.1300001</v>
      </c>
      <c r="M10" s="9">
        <v>6654871898.6999998</v>
      </c>
      <c r="N10" s="9">
        <f t="shared" si="1"/>
        <v>5.4300003051757813</v>
      </c>
      <c r="Q10" s="11" t="s">
        <v>11</v>
      </c>
      <c r="R10" s="9">
        <v>136055627.88</v>
      </c>
      <c r="S10" s="9">
        <v>136055627.77000001</v>
      </c>
      <c r="T10" s="9">
        <f t="shared" si="2"/>
        <v>0.10999998450279236</v>
      </c>
    </row>
    <row r="11" spans="1:20" ht="11.1" customHeight="1" x14ac:dyDescent="0.3">
      <c r="A11" s="11" t="s">
        <v>12</v>
      </c>
      <c r="B11" s="12">
        <v>7528916451.3100004</v>
      </c>
      <c r="C11" s="12">
        <v>7528916451.7700005</v>
      </c>
      <c r="D11" s="12">
        <f t="shared" si="3"/>
        <v>-0.46000003814697266</v>
      </c>
      <c r="E11" s="10"/>
      <c r="F11" s="11" t="s">
        <v>12</v>
      </c>
      <c r="G11" s="9">
        <v>0</v>
      </c>
      <c r="H11" s="9">
        <v>0</v>
      </c>
      <c r="I11" s="9">
        <f t="shared" si="0"/>
        <v>0</v>
      </c>
      <c r="K11" s="11" t="s">
        <v>12</v>
      </c>
      <c r="L11" s="12">
        <v>7139345107.7200003</v>
      </c>
      <c r="M11" s="12">
        <v>7139345102.3800001</v>
      </c>
      <c r="N11" s="12">
        <f t="shared" si="1"/>
        <v>5.3400001525878906</v>
      </c>
      <c r="Q11" s="11" t="s">
        <v>12</v>
      </c>
      <c r="R11" s="12">
        <v>136458389.77000001</v>
      </c>
      <c r="S11" s="12">
        <v>136458389.66</v>
      </c>
      <c r="T11" s="12">
        <f t="shared" si="2"/>
        <v>0.11000001430511475</v>
      </c>
    </row>
    <row r="12" spans="1:20" ht="11.1" customHeight="1" x14ac:dyDescent="0.3">
      <c r="A12" s="11" t="s">
        <v>13</v>
      </c>
      <c r="B12" s="9">
        <v>0</v>
      </c>
      <c r="C12" s="9">
        <v>0</v>
      </c>
      <c r="D12" s="9">
        <f t="shared" si="3"/>
        <v>0</v>
      </c>
      <c r="E12" s="10"/>
      <c r="F12" s="11" t="s">
        <v>13</v>
      </c>
      <c r="G12" s="9">
        <v>0</v>
      </c>
      <c r="H12" s="9">
        <v>0</v>
      </c>
      <c r="I12" s="9">
        <f t="shared" si="0"/>
        <v>0</v>
      </c>
      <c r="K12" s="11" t="s">
        <v>13</v>
      </c>
      <c r="L12" s="9">
        <v>0</v>
      </c>
      <c r="M12" s="9">
        <v>0</v>
      </c>
      <c r="N12" s="9">
        <f t="shared" si="1"/>
        <v>0</v>
      </c>
      <c r="Q12" s="11" t="s">
        <v>13</v>
      </c>
      <c r="R12" s="9">
        <v>0</v>
      </c>
      <c r="S12" s="9">
        <v>0</v>
      </c>
      <c r="T12" s="9">
        <f t="shared" si="2"/>
        <v>0</v>
      </c>
    </row>
    <row r="13" spans="1:20" ht="11.1" customHeight="1" x14ac:dyDescent="0.3">
      <c r="A13" s="11" t="s">
        <v>14</v>
      </c>
      <c r="B13" s="9">
        <v>0</v>
      </c>
      <c r="C13" s="9">
        <v>0</v>
      </c>
      <c r="D13" s="9">
        <f t="shared" si="3"/>
        <v>0</v>
      </c>
      <c r="E13" s="10"/>
      <c r="F13" s="11" t="s">
        <v>14</v>
      </c>
      <c r="G13" s="9">
        <v>0</v>
      </c>
      <c r="H13" s="9">
        <v>0</v>
      </c>
      <c r="I13" s="9">
        <f t="shared" si="0"/>
        <v>0</v>
      </c>
      <c r="K13" s="11" t="s">
        <v>14</v>
      </c>
      <c r="L13" s="9">
        <v>0</v>
      </c>
      <c r="M13" s="9">
        <v>0</v>
      </c>
      <c r="N13" s="9">
        <f t="shared" si="1"/>
        <v>0</v>
      </c>
      <c r="Q13" s="11" t="s">
        <v>14</v>
      </c>
      <c r="R13" s="9">
        <v>0</v>
      </c>
      <c r="S13" s="9">
        <v>0</v>
      </c>
      <c r="T13" s="9">
        <f t="shared" si="2"/>
        <v>0</v>
      </c>
    </row>
    <row r="14" spans="1:20" ht="11.1" customHeight="1" x14ac:dyDescent="0.3">
      <c r="A14" s="11" t="s">
        <v>15</v>
      </c>
      <c r="B14" s="9">
        <v>0</v>
      </c>
      <c r="C14" s="9">
        <v>0</v>
      </c>
      <c r="D14" s="9">
        <f t="shared" si="3"/>
        <v>0</v>
      </c>
      <c r="E14" s="10"/>
      <c r="F14" s="11" t="s">
        <v>15</v>
      </c>
      <c r="G14" s="9">
        <v>0</v>
      </c>
      <c r="H14" s="9">
        <v>0</v>
      </c>
      <c r="I14" s="9">
        <f t="shared" si="0"/>
        <v>0</v>
      </c>
      <c r="K14" s="11" t="s">
        <v>15</v>
      </c>
      <c r="L14" s="9">
        <v>0</v>
      </c>
      <c r="M14" s="9">
        <v>0</v>
      </c>
      <c r="N14" s="9">
        <f t="shared" si="1"/>
        <v>0</v>
      </c>
      <c r="Q14" s="11" t="s">
        <v>15</v>
      </c>
      <c r="R14" s="9">
        <v>0</v>
      </c>
      <c r="S14" s="9">
        <v>0</v>
      </c>
      <c r="T14" s="9">
        <f t="shared" si="2"/>
        <v>0</v>
      </c>
    </row>
    <row r="15" spans="1:20" ht="11.1" customHeight="1" x14ac:dyDescent="0.3">
      <c r="A15" s="11" t="s">
        <v>16</v>
      </c>
      <c r="B15" s="9">
        <v>0</v>
      </c>
      <c r="C15" s="9">
        <v>0</v>
      </c>
      <c r="D15" s="9">
        <f t="shared" si="3"/>
        <v>0</v>
      </c>
      <c r="E15" s="10"/>
      <c r="F15" s="11" t="s">
        <v>16</v>
      </c>
      <c r="G15" s="9">
        <v>0</v>
      </c>
      <c r="H15" s="9">
        <v>0</v>
      </c>
      <c r="I15" s="9">
        <f t="shared" si="0"/>
        <v>0</v>
      </c>
      <c r="K15" s="11" t="s">
        <v>16</v>
      </c>
      <c r="L15" s="9">
        <v>0</v>
      </c>
      <c r="M15" s="9">
        <v>0</v>
      </c>
      <c r="N15" s="9">
        <f t="shared" si="1"/>
        <v>0</v>
      </c>
      <c r="Q15" s="11" t="s">
        <v>16</v>
      </c>
      <c r="R15" s="9">
        <v>0</v>
      </c>
      <c r="S15" s="9">
        <v>0</v>
      </c>
      <c r="T15" s="9">
        <f t="shared" si="2"/>
        <v>0</v>
      </c>
    </row>
    <row r="16" spans="1:20" ht="11.1" customHeight="1" x14ac:dyDescent="0.3">
      <c r="A16" s="11" t="s">
        <v>17</v>
      </c>
      <c r="B16" s="9">
        <v>0</v>
      </c>
      <c r="C16" s="9">
        <v>0</v>
      </c>
      <c r="D16" s="9">
        <f t="shared" si="3"/>
        <v>0</v>
      </c>
      <c r="E16" s="10"/>
      <c r="F16" s="11" t="s">
        <v>17</v>
      </c>
      <c r="G16" s="9">
        <v>0</v>
      </c>
      <c r="H16" s="9">
        <v>0</v>
      </c>
      <c r="I16" s="9">
        <f t="shared" si="0"/>
        <v>0</v>
      </c>
      <c r="K16" s="11" t="s">
        <v>17</v>
      </c>
      <c r="L16" s="9">
        <v>0</v>
      </c>
      <c r="M16" s="9">
        <v>0</v>
      </c>
      <c r="N16" s="9">
        <f t="shared" si="1"/>
        <v>0</v>
      </c>
      <c r="Q16" s="11" t="s">
        <v>17</v>
      </c>
      <c r="R16" s="9">
        <v>0</v>
      </c>
      <c r="S16" s="9">
        <v>0</v>
      </c>
      <c r="T16" s="9">
        <f t="shared" si="2"/>
        <v>0</v>
      </c>
    </row>
    <row r="17" spans="1:20" ht="11.1" customHeight="1" x14ac:dyDescent="0.3">
      <c r="A17" s="11" t="s">
        <v>18</v>
      </c>
      <c r="B17" s="9">
        <v>0</v>
      </c>
      <c r="C17" s="9">
        <v>0</v>
      </c>
      <c r="D17" s="9">
        <f t="shared" si="3"/>
        <v>0</v>
      </c>
      <c r="E17" s="10"/>
      <c r="F17" s="11" t="s">
        <v>18</v>
      </c>
      <c r="G17" s="9">
        <v>0</v>
      </c>
      <c r="H17" s="9">
        <v>0</v>
      </c>
      <c r="I17" s="9">
        <f t="shared" si="0"/>
        <v>0</v>
      </c>
      <c r="K17" s="11" t="s">
        <v>18</v>
      </c>
      <c r="L17" s="9">
        <v>0</v>
      </c>
      <c r="M17" s="9">
        <v>0</v>
      </c>
      <c r="N17" s="9">
        <f t="shared" si="1"/>
        <v>0</v>
      </c>
      <c r="Q17" s="11" t="s">
        <v>18</v>
      </c>
      <c r="R17" s="9">
        <v>0</v>
      </c>
      <c r="S17" s="9">
        <v>0</v>
      </c>
      <c r="T17" s="9">
        <f t="shared" si="2"/>
        <v>0</v>
      </c>
    </row>
    <row r="18" spans="1:20" ht="11.1" customHeight="1" x14ac:dyDescent="0.3">
      <c r="A18" s="11" t="s">
        <v>19</v>
      </c>
      <c r="B18" s="9">
        <v>0</v>
      </c>
      <c r="C18" s="9">
        <v>0</v>
      </c>
      <c r="D18" s="9">
        <f t="shared" si="3"/>
        <v>0</v>
      </c>
      <c r="E18" s="10"/>
      <c r="F18" s="11" t="s">
        <v>19</v>
      </c>
      <c r="G18" s="9">
        <v>0</v>
      </c>
      <c r="H18" s="9">
        <v>0</v>
      </c>
      <c r="I18" s="9">
        <f t="shared" si="0"/>
        <v>0</v>
      </c>
      <c r="K18" s="11" t="s">
        <v>19</v>
      </c>
      <c r="L18" s="9">
        <v>0</v>
      </c>
      <c r="M18" s="9">
        <v>0</v>
      </c>
      <c r="N18" s="9">
        <f t="shared" si="1"/>
        <v>0</v>
      </c>
      <c r="Q18" s="11" t="s">
        <v>19</v>
      </c>
      <c r="R18" s="9">
        <v>0</v>
      </c>
      <c r="S18" s="9">
        <v>0</v>
      </c>
      <c r="T18" s="9">
        <f t="shared" si="2"/>
        <v>0</v>
      </c>
    </row>
    <row r="19" spans="1:20" ht="11.1" customHeight="1" x14ac:dyDescent="0.3">
      <c r="A19" s="11" t="s">
        <v>20</v>
      </c>
      <c r="B19" s="9">
        <v>0</v>
      </c>
      <c r="C19" s="9">
        <v>0</v>
      </c>
      <c r="D19" s="9">
        <f t="shared" si="3"/>
        <v>0</v>
      </c>
      <c r="E19" s="10"/>
      <c r="F19" s="11" t="s">
        <v>20</v>
      </c>
      <c r="G19" s="9">
        <v>0</v>
      </c>
      <c r="H19" s="9">
        <v>0</v>
      </c>
      <c r="I19" s="9">
        <f t="shared" si="0"/>
        <v>0</v>
      </c>
      <c r="K19" s="11" t="s">
        <v>20</v>
      </c>
      <c r="L19" s="9">
        <v>0</v>
      </c>
      <c r="M19" s="9">
        <v>0</v>
      </c>
      <c r="N19" s="9">
        <f t="shared" si="1"/>
        <v>0</v>
      </c>
      <c r="Q19" s="11" t="s">
        <v>20</v>
      </c>
      <c r="R19" s="9">
        <v>0</v>
      </c>
      <c r="S19" s="9">
        <v>0</v>
      </c>
      <c r="T19" s="9">
        <f t="shared" si="2"/>
        <v>0</v>
      </c>
    </row>
    <row r="20" spans="1:20" ht="8.1" customHeight="1" x14ac:dyDescent="0.3">
      <c r="B20" s="10"/>
      <c r="C20" s="10"/>
      <c r="D20" s="10"/>
      <c r="E20" s="10"/>
      <c r="F20" s="10"/>
      <c r="G20" s="10"/>
      <c r="K20" s="10"/>
      <c r="L20" s="10"/>
      <c r="Q20" s="10"/>
      <c r="R20" s="10"/>
    </row>
    <row r="21" spans="1:20" x14ac:dyDescent="0.3">
      <c r="A21" s="5" t="s">
        <v>21</v>
      </c>
      <c r="B21" s="4" t="s">
        <v>3</v>
      </c>
      <c r="C21" s="4" t="s">
        <v>4</v>
      </c>
      <c r="D21" s="4" t="s">
        <v>5</v>
      </c>
      <c r="F21" s="5" t="s">
        <v>22</v>
      </c>
      <c r="G21" s="4" t="s">
        <v>3</v>
      </c>
      <c r="H21" s="4" t="s">
        <v>4</v>
      </c>
      <c r="I21" s="4" t="s">
        <v>5</v>
      </c>
      <c r="K21" s="6" t="s">
        <v>23</v>
      </c>
      <c r="L21" s="4" t="s">
        <v>3</v>
      </c>
      <c r="M21" s="4" t="s">
        <v>4</v>
      </c>
      <c r="N21" s="4" t="s">
        <v>5</v>
      </c>
      <c r="Q21" s="6" t="s">
        <v>24</v>
      </c>
      <c r="R21" s="4" t="s">
        <v>3</v>
      </c>
      <c r="S21" s="4" t="s">
        <v>4</v>
      </c>
      <c r="T21" s="4" t="s">
        <v>5</v>
      </c>
    </row>
    <row r="22" spans="1:20" ht="3" customHeight="1" x14ac:dyDescent="0.3">
      <c r="A22" s="7"/>
      <c r="B22" s="7"/>
      <c r="C22" s="7"/>
      <c r="D22" s="7"/>
      <c r="F22" s="7"/>
      <c r="G22" s="7"/>
      <c r="H22" s="7"/>
      <c r="I22" s="7"/>
      <c r="K22" s="7"/>
      <c r="L22" s="7"/>
      <c r="M22" s="7"/>
      <c r="N22" s="7"/>
      <c r="Q22" s="7"/>
      <c r="R22" s="7"/>
      <c r="S22" s="7"/>
      <c r="T22" s="7"/>
    </row>
    <row r="23" spans="1:20" ht="11.1" customHeight="1" x14ac:dyDescent="0.3">
      <c r="A23" s="8" t="s">
        <v>9</v>
      </c>
      <c r="B23" s="9">
        <v>55094965</v>
      </c>
      <c r="C23" s="9">
        <v>55094965.149999999</v>
      </c>
      <c r="D23" s="9">
        <f t="shared" ref="D23:D34" si="4">+B23-C23</f>
        <v>-0.14999999850988388</v>
      </c>
      <c r="E23" s="10"/>
      <c r="F23" s="8" t="s">
        <v>9</v>
      </c>
      <c r="G23" s="9">
        <v>0</v>
      </c>
      <c r="H23" s="9">
        <v>0</v>
      </c>
      <c r="I23" s="9">
        <f t="shared" ref="I23:I34" si="5">+G23-H23</f>
        <v>0</v>
      </c>
      <c r="K23" s="8" t="s">
        <v>9</v>
      </c>
      <c r="L23" s="9">
        <v>174194794.41</v>
      </c>
      <c r="M23" s="9">
        <v>174194785.86000001</v>
      </c>
      <c r="N23" s="9">
        <f t="shared" ref="N23:N34" si="6">+L23-M23</f>
        <v>8.5499999821186066</v>
      </c>
      <c r="Q23" s="8" t="s">
        <v>9</v>
      </c>
      <c r="R23" s="9">
        <v>96065711.760000005</v>
      </c>
      <c r="S23" s="9">
        <v>96065711.540000007</v>
      </c>
      <c r="T23" s="9">
        <f t="shared" ref="T23:T34" si="7">+R23-S23</f>
        <v>0.2199999988079071</v>
      </c>
    </row>
    <row r="24" spans="1:20" ht="11.1" customHeight="1" x14ac:dyDescent="0.3">
      <c r="A24" s="11" t="s">
        <v>10</v>
      </c>
      <c r="B24" s="9">
        <v>55094965</v>
      </c>
      <c r="C24" s="9">
        <v>55094965.149999999</v>
      </c>
      <c r="D24" s="9">
        <f t="shared" si="4"/>
        <v>-0.14999999850988388</v>
      </c>
      <c r="E24" s="10"/>
      <c r="F24" s="11" t="s">
        <v>10</v>
      </c>
      <c r="G24" s="9">
        <v>0</v>
      </c>
      <c r="H24" s="9">
        <v>0</v>
      </c>
      <c r="I24" s="9">
        <f t="shared" si="5"/>
        <v>0</v>
      </c>
      <c r="K24" s="11" t="s">
        <v>10</v>
      </c>
      <c r="L24" s="9">
        <v>178448913.13999999</v>
      </c>
      <c r="M24" s="9">
        <v>178448904.62</v>
      </c>
      <c r="N24" s="9">
        <f t="shared" si="6"/>
        <v>8.5199999809265137</v>
      </c>
      <c r="Q24" s="11" t="s">
        <v>10</v>
      </c>
      <c r="R24" s="9">
        <v>96065711.760000005</v>
      </c>
      <c r="S24" s="9">
        <v>96065711.540000007</v>
      </c>
      <c r="T24" s="9">
        <f t="shared" si="7"/>
        <v>0.2199999988079071</v>
      </c>
    </row>
    <row r="25" spans="1:20" ht="11.1" customHeight="1" x14ac:dyDescent="0.3">
      <c r="A25" s="11" t="s">
        <v>11</v>
      </c>
      <c r="B25" s="9">
        <v>55094965</v>
      </c>
      <c r="C25" s="9">
        <v>55094965.149999999</v>
      </c>
      <c r="D25" s="9">
        <f t="shared" si="4"/>
        <v>-0.14999999850988388</v>
      </c>
      <c r="E25" s="10"/>
      <c r="F25" s="11" t="s">
        <v>11</v>
      </c>
      <c r="G25" s="9">
        <v>0</v>
      </c>
      <c r="H25" s="9">
        <v>0</v>
      </c>
      <c r="I25" s="9">
        <f t="shared" si="5"/>
        <v>0</v>
      </c>
      <c r="K25" s="11" t="s">
        <v>11</v>
      </c>
      <c r="L25" s="9">
        <v>181409501.81</v>
      </c>
      <c r="M25" s="9">
        <v>181409493.31</v>
      </c>
      <c r="N25" s="9">
        <f t="shared" si="6"/>
        <v>8.5</v>
      </c>
      <c r="Q25" s="11" t="s">
        <v>11</v>
      </c>
      <c r="R25" s="9">
        <v>96065711.760000005</v>
      </c>
      <c r="S25" s="9">
        <v>96065711.540000007</v>
      </c>
      <c r="T25" s="9">
        <f t="shared" si="7"/>
        <v>0.2199999988079071</v>
      </c>
    </row>
    <row r="26" spans="1:20" ht="11.1" customHeight="1" x14ac:dyDescent="0.3">
      <c r="A26" s="11" t="s">
        <v>12</v>
      </c>
      <c r="B26" s="12">
        <v>55094965</v>
      </c>
      <c r="C26" s="12">
        <v>55094965.149999999</v>
      </c>
      <c r="D26" s="12">
        <f t="shared" si="4"/>
        <v>-0.14999999850988388</v>
      </c>
      <c r="E26" s="10"/>
      <c r="F26" s="11" t="s">
        <v>12</v>
      </c>
      <c r="G26" s="9">
        <v>0</v>
      </c>
      <c r="H26" s="9">
        <v>0</v>
      </c>
      <c r="I26" s="9">
        <f t="shared" si="5"/>
        <v>0</v>
      </c>
      <c r="K26" s="11" t="s">
        <v>12</v>
      </c>
      <c r="L26" s="12">
        <v>165559506.84999999</v>
      </c>
      <c r="M26" s="12">
        <v>165559498.28999999</v>
      </c>
      <c r="N26" s="12">
        <f t="shared" si="6"/>
        <v>8.5600000023841858</v>
      </c>
      <c r="Q26" s="11" t="s">
        <v>12</v>
      </c>
      <c r="R26" s="12">
        <v>96065711.760000005</v>
      </c>
      <c r="S26" s="12">
        <v>96065711.540000007</v>
      </c>
      <c r="T26" s="12">
        <f t="shared" si="7"/>
        <v>0.2199999988079071</v>
      </c>
    </row>
    <row r="27" spans="1:20" ht="11.1" customHeight="1" x14ac:dyDescent="0.3">
      <c r="A27" s="11" t="s">
        <v>13</v>
      </c>
      <c r="B27" s="9">
        <v>0</v>
      </c>
      <c r="C27" s="9">
        <v>0</v>
      </c>
      <c r="D27" s="9">
        <f t="shared" si="4"/>
        <v>0</v>
      </c>
      <c r="E27" s="10"/>
      <c r="F27" s="11" t="s">
        <v>13</v>
      </c>
      <c r="G27" s="9">
        <v>0</v>
      </c>
      <c r="H27" s="9">
        <v>0</v>
      </c>
      <c r="I27" s="9">
        <f t="shared" si="5"/>
        <v>0</v>
      </c>
      <c r="K27" s="11" t="s">
        <v>13</v>
      </c>
      <c r="L27" s="9">
        <v>0</v>
      </c>
      <c r="M27" s="9">
        <v>0</v>
      </c>
      <c r="N27" s="9">
        <f t="shared" si="6"/>
        <v>0</v>
      </c>
      <c r="Q27" s="11" t="s">
        <v>13</v>
      </c>
      <c r="R27" s="9">
        <v>0</v>
      </c>
      <c r="S27" s="9">
        <v>0</v>
      </c>
      <c r="T27" s="9">
        <f t="shared" si="7"/>
        <v>0</v>
      </c>
    </row>
    <row r="28" spans="1:20" ht="11.1" customHeight="1" x14ac:dyDescent="0.3">
      <c r="A28" s="11" t="s">
        <v>14</v>
      </c>
      <c r="B28" s="9">
        <v>0</v>
      </c>
      <c r="C28" s="9">
        <v>0</v>
      </c>
      <c r="D28" s="9">
        <f t="shared" si="4"/>
        <v>0</v>
      </c>
      <c r="E28" s="10"/>
      <c r="F28" s="11" t="s">
        <v>14</v>
      </c>
      <c r="G28" s="9">
        <v>0</v>
      </c>
      <c r="H28" s="9">
        <v>0</v>
      </c>
      <c r="I28" s="9">
        <f t="shared" si="5"/>
        <v>0</v>
      </c>
      <c r="K28" s="11" t="s">
        <v>14</v>
      </c>
      <c r="L28" s="9">
        <v>0</v>
      </c>
      <c r="M28" s="9">
        <v>0</v>
      </c>
      <c r="N28" s="9">
        <f t="shared" si="6"/>
        <v>0</v>
      </c>
      <c r="Q28" s="11" t="s">
        <v>14</v>
      </c>
      <c r="R28" s="9">
        <v>0</v>
      </c>
      <c r="S28" s="9">
        <v>0</v>
      </c>
      <c r="T28" s="9">
        <f t="shared" si="7"/>
        <v>0</v>
      </c>
    </row>
    <row r="29" spans="1:20" ht="11.1" customHeight="1" x14ac:dyDescent="0.3">
      <c r="A29" s="11" t="s">
        <v>15</v>
      </c>
      <c r="B29" s="9">
        <v>0</v>
      </c>
      <c r="C29" s="9">
        <v>0</v>
      </c>
      <c r="D29" s="9">
        <f t="shared" si="4"/>
        <v>0</v>
      </c>
      <c r="E29" s="10"/>
      <c r="F29" s="11" t="s">
        <v>15</v>
      </c>
      <c r="G29" s="9">
        <v>0</v>
      </c>
      <c r="H29" s="9">
        <v>0</v>
      </c>
      <c r="I29" s="9">
        <f t="shared" si="5"/>
        <v>0</v>
      </c>
      <c r="K29" s="11" t="s">
        <v>15</v>
      </c>
      <c r="L29" s="9">
        <v>0</v>
      </c>
      <c r="M29" s="9">
        <v>0</v>
      </c>
      <c r="N29" s="9">
        <f t="shared" si="6"/>
        <v>0</v>
      </c>
      <c r="Q29" s="11" t="s">
        <v>15</v>
      </c>
      <c r="R29" s="9">
        <v>0</v>
      </c>
      <c r="S29" s="9">
        <v>0</v>
      </c>
      <c r="T29" s="9">
        <f t="shared" si="7"/>
        <v>0</v>
      </c>
    </row>
    <row r="30" spans="1:20" ht="11.1" customHeight="1" x14ac:dyDescent="0.3">
      <c r="A30" s="11" t="s">
        <v>16</v>
      </c>
      <c r="B30" s="9">
        <v>0</v>
      </c>
      <c r="C30" s="9">
        <v>0</v>
      </c>
      <c r="D30" s="9">
        <f t="shared" si="4"/>
        <v>0</v>
      </c>
      <c r="E30" s="10"/>
      <c r="F30" s="11" t="s">
        <v>16</v>
      </c>
      <c r="G30" s="9">
        <v>0</v>
      </c>
      <c r="H30" s="9">
        <v>0</v>
      </c>
      <c r="I30" s="9">
        <f t="shared" si="5"/>
        <v>0</v>
      </c>
      <c r="K30" s="11" t="s">
        <v>16</v>
      </c>
      <c r="L30" s="9">
        <v>0</v>
      </c>
      <c r="M30" s="9">
        <v>0</v>
      </c>
      <c r="N30" s="9">
        <f t="shared" si="6"/>
        <v>0</v>
      </c>
      <c r="Q30" s="11" t="s">
        <v>16</v>
      </c>
      <c r="R30" s="9">
        <v>0</v>
      </c>
      <c r="S30" s="9">
        <v>0</v>
      </c>
      <c r="T30" s="9">
        <f t="shared" si="7"/>
        <v>0</v>
      </c>
    </row>
    <row r="31" spans="1:20" ht="11.1" customHeight="1" x14ac:dyDescent="0.3">
      <c r="A31" s="11" t="s">
        <v>17</v>
      </c>
      <c r="B31" s="9">
        <v>0</v>
      </c>
      <c r="C31" s="9">
        <v>0</v>
      </c>
      <c r="D31" s="9">
        <f t="shared" si="4"/>
        <v>0</v>
      </c>
      <c r="E31" s="10"/>
      <c r="F31" s="11" t="s">
        <v>17</v>
      </c>
      <c r="G31" s="9">
        <v>0</v>
      </c>
      <c r="H31" s="9">
        <v>0</v>
      </c>
      <c r="I31" s="9">
        <f t="shared" si="5"/>
        <v>0</v>
      </c>
      <c r="K31" s="11" t="s">
        <v>17</v>
      </c>
      <c r="L31" s="9">
        <v>0</v>
      </c>
      <c r="M31" s="9">
        <v>0</v>
      </c>
      <c r="N31" s="9">
        <f t="shared" si="6"/>
        <v>0</v>
      </c>
      <c r="Q31" s="11" t="s">
        <v>17</v>
      </c>
      <c r="R31" s="9">
        <v>0</v>
      </c>
      <c r="S31" s="9">
        <v>0</v>
      </c>
      <c r="T31" s="9">
        <f t="shared" si="7"/>
        <v>0</v>
      </c>
    </row>
    <row r="32" spans="1:20" ht="11.1" customHeight="1" x14ac:dyDescent="0.3">
      <c r="A32" s="11" t="s">
        <v>18</v>
      </c>
      <c r="B32" s="9">
        <v>0</v>
      </c>
      <c r="C32" s="9">
        <v>0</v>
      </c>
      <c r="D32" s="9">
        <f t="shared" si="4"/>
        <v>0</v>
      </c>
      <c r="E32" s="10"/>
      <c r="F32" s="11" t="s">
        <v>18</v>
      </c>
      <c r="G32" s="9">
        <v>0</v>
      </c>
      <c r="H32" s="9">
        <v>0</v>
      </c>
      <c r="I32" s="9">
        <f t="shared" si="5"/>
        <v>0</v>
      </c>
      <c r="K32" s="11" t="s">
        <v>18</v>
      </c>
      <c r="L32" s="9">
        <v>0</v>
      </c>
      <c r="M32" s="9">
        <v>0</v>
      </c>
      <c r="N32" s="9">
        <f t="shared" si="6"/>
        <v>0</v>
      </c>
      <c r="Q32" s="11" t="s">
        <v>18</v>
      </c>
      <c r="R32" s="9">
        <v>0</v>
      </c>
      <c r="S32" s="9">
        <v>0</v>
      </c>
      <c r="T32" s="9">
        <f t="shared" si="7"/>
        <v>0</v>
      </c>
    </row>
    <row r="33" spans="1:20" ht="11.1" customHeight="1" x14ac:dyDescent="0.3">
      <c r="A33" s="11" t="s">
        <v>19</v>
      </c>
      <c r="B33" s="9">
        <v>0</v>
      </c>
      <c r="C33" s="9">
        <v>0</v>
      </c>
      <c r="D33" s="9">
        <f t="shared" si="4"/>
        <v>0</v>
      </c>
      <c r="E33" s="10"/>
      <c r="F33" s="11" t="s">
        <v>19</v>
      </c>
      <c r="G33" s="9">
        <v>0</v>
      </c>
      <c r="H33" s="9">
        <v>0</v>
      </c>
      <c r="I33" s="9">
        <f t="shared" si="5"/>
        <v>0</v>
      </c>
      <c r="K33" s="11" t="s">
        <v>19</v>
      </c>
      <c r="L33" s="9">
        <v>0</v>
      </c>
      <c r="M33" s="9">
        <v>0</v>
      </c>
      <c r="N33" s="9">
        <f t="shared" si="6"/>
        <v>0</v>
      </c>
      <c r="Q33" s="11" t="s">
        <v>19</v>
      </c>
      <c r="R33" s="9">
        <v>0</v>
      </c>
      <c r="S33" s="9">
        <v>0</v>
      </c>
      <c r="T33" s="9">
        <f t="shared" si="7"/>
        <v>0</v>
      </c>
    </row>
    <row r="34" spans="1:20" ht="11.1" customHeight="1" x14ac:dyDescent="0.3">
      <c r="A34" s="11" t="s">
        <v>20</v>
      </c>
      <c r="B34" s="9">
        <v>0</v>
      </c>
      <c r="C34" s="9">
        <v>0</v>
      </c>
      <c r="D34" s="9">
        <f t="shared" si="4"/>
        <v>0</v>
      </c>
      <c r="E34" s="10"/>
      <c r="F34" s="11" t="s">
        <v>20</v>
      </c>
      <c r="G34" s="9">
        <v>0</v>
      </c>
      <c r="H34" s="9">
        <v>0</v>
      </c>
      <c r="I34" s="9">
        <f t="shared" si="5"/>
        <v>0</v>
      </c>
      <c r="K34" s="11" t="s">
        <v>20</v>
      </c>
      <c r="L34" s="9">
        <v>0</v>
      </c>
      <c r="M34" s="9">
        <v>0</v>
      </c>
      <c r="N34" s="9">
        <f t="shared" si="6"/>
        <v>0</v>
      </c>
      <c r="Q34" s="11" t="s">
        <v>20</v>
      </c>
      <c r="R34" s="9">
        <v>0</v>
      </c>
      <c r="S34" s="9">
        <v>0</v>
      </c>
      <c r="T34" s="9">
        <f t="shared" si="7"/>
        <v>0</v>
      </c>
    </row>
    <row r="35" spans="1:20" ht="6" customHeight="1" x14ac:dyDescent="0.3"/>
    <row r="36" spans="1:20" ht="12" customHeight="1" x14ac:dyDescent="0.3">
      <c r="A36" s="5" t="s">
        <v>25</v>
      </c>
      <c r="B36" s="4" t="s">
        <v>3</v>
      </c>
      <c r="C36" s="4" t="s">
        <v>4</v>
      </c>
      <c r="D36" s="4" t="s">
        <v>5</v>
      </c>
      <c r="F36" s="5" t="s">
        <v>26</v>
      </c>
      <c r="G36" s="4" t="s">
        <v>3</v>
      </c>
      <c r="H36" s="4" t="s">
        <v>4</v>
      </c>
      <c r="I36" s="4" t="s">
        <v>5</v>
      </c>
      <c r="K36" s="6" t="s">
        <v>27</v>
      </c>
      <c r="L36" s="4" t="s">
        <v>3</v>
      </c>
      <c r="M36" s="4" t="s">
        <v>4</v>
      </c>
      <c r="N36" s="4" t="s">
        <v>5</v>
      </c>
      <c r="Q36" s="6" t="s">
        <v>28</v>
      </c>
      <c r="R36" s="4" t="s">
        <v>3</v>
      </c>
      <c r="S36" s="4" t="s">
        <v>4</v>
      </c>
      <c r="T36" s="4" t="s">
        <v>5</v>
      </c>
    </row>
    <row r="37" spans="1:20" ht="3" customHeight="1" x14ac:dyDescent="0.3">
      <c r="A37" s="7"/>
      <c r="B37" s="7"/>
      <c r="C37" s="7"/>
      <c r="D37" s="7"/>
      <c r="F37" s="7"/>
      <c r="G37" s="7"/>
      <c r="H37" s="7"/>
      <c r="I37" s="7"/>
      <c r="K37" s="7"/>
      <c r="L37" s="7"/>
      <c r="M37" s="7"/>
      <c r="N37" s="7"/>
      <c r="Q37" s="7"/>
      <c r="R37" s="7"/>
      <c r="S37" s="7"/>
      <c r="T37" s="7"/>
    </row>
    <row r="38" spans="1:20" ht="10.5" customHeight="1" x14ac:dyDescent="0.3">
      <c r="A38" s="8" t="s">
        <v>9</v>
      </c>
      <c r="B38" s="9">
        <v>1877122940.8900001</v>
      </c>
      <c r="C38" s="9">
        <v>1877122940.0999999</v>
      </c>
      <c r="D38" s="9">
        <f t="shared" ref="D38:D49" si="8">+B38-C38</f>
        <v>0.79000020027160645</v>
      </c>
      <c r="E38" s="10"/>
      <c r="F38" s="8" t="s">
        <v>9</v>
      </c>
      <c r="G38" s="9">
        <v>0</v>
      </c>
      <c r="H38" s="9">
        <v>0</v>
      </c>
      <c r="I38" s="9">
        <f t="shared" ref="I38:I49" si="9">+G38-H38</f>
        <v>0</v>
      </c>
      <c r="K38" s="8" t="s">
        <v>9</v>
      </c>
      <c r="L38" s="9">
        <v>3063872580.96</v>
      </c>
      <c r="M38" s="9">
        <v>3080317362.6199999</v>
      </c>
      <c r="N38" s="9">
        <f>+L38+L53-M38</f>
        <v>2.8600001335144043</v>
      </c>
      <c r="Q38" s="8" t="s">
        <v>9</v>
      </c>
      <c r="R38" s="9">
        <v>0</v>
      </c>
      <c r="S38" s="9">
        <v>0</v>
      </c>
      <c r="T38" s="9">
        <f t="shared" ref="T38:T49" si="10">+R38-S38</f>
        <v>0</v>
      </c>
    </row>
    <row r="39" spans="1:20" ht="11.1" customHeight="1" x14ac:dyDescent="0.3">
      <c r="A39" s="11" t="s">
        <v>10</v>
      </c>
      <c r="B39" s="9">
        <v>1877122940.8900001</v>
      </c>
      <c r="C39" s="9">
        <v>1877122940.0999999</v>
      </c>
      <c r="D39" s="9">
        <f t="shared" si="8"/>
        <v>0.79000020027160645</v>
      </c>
      <c r="E39" s="10"/>
      <c r="F39" s="11" t="s">
        <v>10</v>
      </c>
      <c r="G39" s="9">
        <v>0</v>
      </c>
      <c r="H39" s="9">
        <v>0</v>
      </c>
      <c r="I39" s="9">
        <f t="shared" si="9"/>
        <v>0</v>
      </c>
      <c r="K39" s="11" t="s">
        <v>10</v>
      </c>
      <c r="L39" s="9">
        <v>3077651670.9099998</v>
      </c>
      <c r="M39" s="9">
        <v>3094096452.5700002</v>
      </c>
      <c r="N39" s="9">
        <f>+L39+L54-M39</f>
        <v>2.8599996566772461</v>
      </c>
      <c r="Q39" s="11" t="s">
        <v>10</v>
      </c>
      <c r="R39" s="9">
        <v>0</v>
      </c>
      <c r="S39" s="9">
        <v>0</v>
      </c>
      <c r="T39" s="9">
        <f t="shared" si="10"/>
        <v>0</v>
      </c>
    </row>
    <row r="40" spans="1:20" ht="11.1" customHeight="1" x14ac:dyDescent="0.3">
      <c r="A40" s="11" t="s">
        <v>11</v>
      </c>
      <c r="B40" s="9">
        <v>1877122940.8900001</v>
      </c>
      <c r="C40" s="9">
        <v>1877122940.0999999</v>
      </c>
      <c r="D40" s="9">
        <f t="shared" si="8"/>
        <v>0.79000020027160645</v>
      </c>
      <c r="E40" s="10"/>
      <c r="F40" s="11" t="s">
        <v>11</v>
      </c>
      <c r="G40" s="9">
        <v>0</v>
      </c>
      <c r="H40" s="9">
        <v>0</v>
      </c>
      <c r="I40" s="9">
        <f t="shared" si="9"/>
        <v>0</v>
      </c>
      <c r="K40" s="11" t="s">
        <v>11</v>
      </c>
      <c r="L40" s="9">
        <v>3100879537.5700002</v>
      </c>
      <c r="M40" s="9">
        <v>3117324319.23</v>
      </c>
      <c r="N40" s="9">
        <f t="shared" ref="N40:N49" si="11">+L40+L55-M40</f>
        <v>2.8600001335144043</v>
      </c>
      <c r="Q40" s="11" t="s">
        <v>11</v>
      </c>
      <c r="R40" s="9">
        <v>0</v>
      </c>
      <c r="S40" s="9">
        <v>0</v>
      </c>
      <c r="T40" s="9">
        <f t="shared" si="10"/>
        <v>0</v>
      </c>
    </row>
    <row r="41" spans="1:20" ht="11.1" customHeight="1" x14ac:dyDescent="0.3">
      <c r="A41" s="11" t="s">
        <v>12</v>
      </c>
      <c r="B41" s="12">
        <v>1729884420.49</v>
      </c>
      <c r="C41" s="12">
        <v>1729884419.7</v>
      </c>
      <c r="D41" s="12">
        <f t="shared" si="8"/>
        <v>0.78999996185302734</v>
      </c>
      <c r="E41" s="10"/>
      <c r="F41" s="11" t="s">
        <v>12</v>
      </c>
      <c r="G41" s="9">
        <v>0</v>
      </c>
      <c r="H41" s="9">
        <v>0</v>
      </c>
      <c r="I41" s="9">
        <f t="shared" si="9"/>
        <v>0</v>
      </c>
      <c r="K41" s="11" t="s">
        <v>12</v>
      </c>
      <c r="L41" s="13">
        <v>3222303913.7399998</v>
      </c>
      <c r="M41" s="13">
        <v>3239396331.0500002</v>
      </c>
      <c r="N41" s="9">
        <f t="shared" si="11"/>
        <v>-647632.79000043869</v>
      </c>
      <c r="Q41" s="11" t="s">
        <v>12</v>
      </c>
      <c r="R41" s="9">
        <v>0</v>
      </c>
      <c r="S41" s="9">
        <v>0</v>
      </c>
      <c r="T41" s="9">
        <f t="shared" si="10"/>
        <v>0</v>
      </c>
    </row>
    <row r="42" spans="1:20" ht="11.1" customHeight="1" x14ac:dyDescent="0.3">
      <c r="A42" s="11" t="s">
        <v>13</v>
      </c>
      <c r="B42" s="9">
        <v>0</v>
      </c>
      <c r="C42" s="9">
        <v>0</v>
      </c>
      <c r="D42" s="9">
        <f t="shared" si="8"/>
        <v>0</v>
      </c>
      <c r="E42" s="10"/>
      <c r="F42" s="11" t="s">
        <v>13</v>
      </c>
      <c r="G42" s="9">
        <v>0</v>
      </c>
      <c r="H42" s="9">
        <v>0</v>
      </c>
      <c r="I42" s="9">
        <f t="shared" si="9"/>
        <v>0</v>
      </c>
      <c r="K42" s="11" t="s">
        <v>13</v>
      </c>
      <c r="L42" s="17">
        <v>0</v>
      </c>
      <c r="M42" s="17">
        <v>0</v>
      </c>
      <c r="N42" s="9">
        <f t="shared" si="11"/>
        <v>0</v>
      </c>
      <c r="Q42" s="11" t="s">
        <v>13</v>
      </c>
      <c r="R42" s="9">
        <v>0</v>
      </c>
      <c r="S42" s="9">
        <v>0</v>
      </c>
      <c r="T42" s="9">
        <f t="shared" si="10"/>
        <v>0</v>
      </c>
    </row>
    <row r="43" spans="1:20" ht="11.1" customHeight="1" x14ac:dyDescent="0.3">
      <c r="A43" s="11" t="s">
        <v>14</v>
      </c>
      <c r="B43" s="9">
        <v>0</v>
      </c>
      <c r="C43" s="9">
        <v>0</v>
      </c>
      <c r="D43" s="9">
        <f t="shared" si="8"/>
        <v>0</v>
      </c>
      <c r="E43" s="10"/>
      <c r="F43" s="11" t="s">
        <v>14</v>
      </c>
      <c r="G43" s="9">
        <v>0</v>
      </c>
      <c r="H43" s="9">
        <v>0</v>
      </c>
      <c r="I43" s="9">
        <f t="shared" si="9"/>
        <v>0</v>
      </c>
      <c r="K43" s="11" t="s">
        <v>14</v>
      </c>
      <c r="L43" s="9">
        <v>0</v>
      </c>
      <c r="M43" s="9">
        <v>0</v>
      </c>
      <c r="N43" s="9">
        <f t="shared" si="11"/>
        <v>0</v>
      </c>
      <c r="Q43" s="11" t="s">
        <v>14</v>
      </c>
      <c r="R43" s="9">
        <v>0</v>
      </c>
      <c r="S43" s="9">
        <v>0</v>
      </c>
      <c r="T43" s="9">
        <f t="shared" si="10"/>
        <v>0</v>
      </c>
    </row>
    <row r="44" spans="1:20" ht="11.1" customHeight="1" x14ac:dyDescent="0.3">
      <c r="A44" s="11" t="s">
        <v>15</v>
      </c>
      <c r="B44" s="9">
        <v>0</v>
      </c>
      <c r="C44" s="9">
        <v>0</v>
      </c>
      <c r="D44" s="9">
        <f t="shared" si="8"/>
        <v>0</v>
      </c>
      <c r="E44" s="10"/>
      <c r="F44" s="11" t="s">
        <v>15</v>
      </c>
      <c r="G44" s="9">
        <v>0</v>
      </c>
      <c r="H44" s="9">
        <v>0</v>
      </c>
      <c r="I44" s="9">
        <f t="shared" si="9"/>
        <v>0</v>
      </c>
      <c r="K44" s="11" t="s">
        <v>15</v>
      </c>
      <c r="L44" s="9">
        <v>0</v>
      </c>
      <c r="M44" s="9">
        <v>0</v>
      </c>
      <c r="N44" s="9">
        <f t="shared" si="11"/>
        <v>0</v>
      </c>
      <c r="Q44" s="11" t="s">
        <v>15</v>
      </c>
      <c r="R44" s="9">
        <v>0</v>
      </c>
      <c r="S44" s="9">
        <v>0</v>
      </c>
      <c r="T44" s="9">
        <f t="shared" si="10"/>
        <v>0</v>
      </c>
    </row>
    <row r="45" spans="1:20" ht="11.1" customHeight="1" x14ac:dyDescent="0.3">
      <c r="A45" s="11" t="s">
        <v>16</v>
      </c>
      <c r="B45" s="9">
        <v>0</v>
      </c>
      <c r="C45" s="9">
        <v>0</v>
      </c>
      <c r="D45" s="9">
        <f t="shared" si="8"/>
        <v>0</v>
      </c>
      <c r="E45" s="10"/>
      <c r="F45" s="11" t="s">
        <v>16</v>
      </c>
      <c r="G45" s="9">
        <v>0</v>
      </c>
      <c r="H45" s="9">
        <v>0</v>
      </c>
      <c r="I45" s="9">
        <f t="shared" si="9"/>
        <v>0</v>
      </c>
      <c r="K45" s="11" t="s">
        <v>16</v>
      </c>
      <c r="L45" s="9">
        <v>0</v>
      </c>
      <c r="M45" s="9">
        <v>0</v>
      </c>
      <c r="N45" s="9">
        <f t="shared" si="11"/>
        <v>0</v>
      </c>
      <c r="Q45" s="11" t="s">
        <v>16</v>
      </c>
      <c r="R45" s="9">
        <v>0</v>
      </c>
      <c r="S45" s="9">
        <v>0</v>
      </c>
      <c r="T45" s="9">
        <f t="shared" si="10"/>
        <v>0</v>
      </c>
    </row>
    <row r="46" spans="1:20" ht="11.1" customHeight="1" x14ac:dyDescent="0.3">
      <c r="A46" s="11" t="s">
        <v>17</v>
      </c>
      <c r="B46" s="9">
        <v>0</v>
      </c>
      <c r="C46" s="9">
        <v>0</v>
      </c>
      <c r="D46" s="9">
        <f t="shared" si="8"/>
        <v>0</v>
      </c>
      <c r="E46" s="10"/>
      <c r="F46" s="11" t="s">
        <v>17</v>
      </c>
      <c r="G46" s="9">
        <v>0</v>
      </c>
      <c r="H46" s="9">
        <v>0</v>
      </c>
      <c r="I46" s="9">
        <f t="shared" si="9"/>
        <v>0</v>
      </c>
      <c r="K46" s="11" t="s">
        <v>17</v>
      </c>
      <c r="L46" s="9">
        <v>0</v>
      </c>
      <c r="M46" s="9">
        <v>0</v>
      </c>
      <c r="N46" s="9">
        <f t="shared" si="11"/>
        <v>0</v>
      </c>
      <c r="Q46" s="11" t="s">
        <v>17</v>
      </c>
      <c r="R46" s="9">
        <v>0</v>
      </c>
      <c r="S46" s="9">
        <v>0</v>
      </c>
      <c r="T46" s="9">
        <f t="shared" si="10"/>
        <v>0</v>
      </c>
    </row>
    <row r="47" spans="1:20" ht="11.1" customHeight="1" x14ac:dyDescent="0.3">
      <c r="A47" s="11" t="s">
        <v>18</v>
      </c>
      <c r="B47" s="9">
        <v>0</v>
      </c>
      <c r="C47" s="9">
        <v>0</v>
      </c>
      <c r="D47" s="9">
        <f t="shared" si="8"/>
        <v>0</v>
      </c>
      <c r="E47" s="10"/>
      <c r="F47" s="11" t="s">
        <v>18</v>
      </c>
      <c r="G47" s="9">
        <v>0</v>
      </c>
      <c r="H47" s="9">
        <v>0</v>
      </c>
      <c r="I47" s="9">
        <f t="shared" si="9"/>
        <v>0</v>
      </c>
      <c r="K47" s="11" t="s">
        <v>18</v>
      </c>
      <c r="L47" s="9">
        <v>0</v>
      </c>
      <c r="M47" s="9">
        <v>0</v>
      </c>
      <c r="N47" s="9">
        <f t="shared" si="11"/>
        <v>0</v>
      </c>
      <c r="Q47" s="11" t="s">
        <v>18</v>
      </c>
      <c r="R47" s="9">
        <v>0</v>
      </c>
      <c r="S47" s="9">
        <v>0</v>
      </c>
      <c r="T47" s="9">
        <f t="shared" si="10"/>
        <v>0</v>
      </c>
    </row>
    <row r="48" spans="1:20" ht="10.5" customHeight="1" x14ac:dyDescent="0.3">
      <c r="A48" s="11" t="s">
        <v>19</v>
      </c>
      <c r="B48" s="9">
        <v>0</v>
      </c>
      <c r="C48" s="9">
        <v>0</v>
      </c>
      <c r="D48" s="9">
        <f t="shared" si="8"/>
        <v>0</v>
      </c>
      <c r="E48" s="10"/>
      <c r="F48" s="11" t="s">
        <v>19</v>
      </c>
      <c r="G48" s="9">
        <v>0</v>
      </c>
      <c r="H48" s="9">
        <v>0</v>
      </c>
      <c r="I48" s="9">
        <f t="shared" si="9"/>
        <v>0</v>
      </c>
      <c r="K48" s="11" t="s">
        <v>19</v>
      </c>
      <c r="L48" s="9">
        <v>0</v>
      </c>
      <c r="M48" s="9">
        <v>0</v>
      </c>
      <c r="N48" s="9">
        <f t="shared" si="11"/>
        <v>0</v>
      </c>
      <c r="Q48" s="11" t="s">
        <v>19</v>
      </c>
      <c r="R48" s="9">
        <v>0</v>
      </c>
      <c r="S48" s="9">
        <v>0</v>
      </c>
      <c r="T48" s="9">
        <f t="shared" si="10"/>
        <v>0</v>
      </c>
    </row>
    <row r="49" spans="1:20" ht="10.5" customHeight="1" x14ac:dyDescent="0.3">
      <c r="A49" s="11" t="s">
        <v>20</v>
      </c>
      <c r="B49" s="9">
        <v>0</v>
      </c>
      <c r="C49" s="9">
        <v>0</v>
      </c>
      <c r="D49" s="9">
        <f t="shared" si="8"/>
        <v>0</v>
      </c>
      <c r="E49" s="10"/>
      <c r="F49" s="11" t="s">
        <v>20</v>
      </c>
      <c r="G49" s="9">
        <v>0</v>
      </c>
      <c r="H49" s="9">
        <v>0</v>
      </c>
      <c r="I49" s="9">
        <f t="shared" si="9"/>
        <v>0</v>
      </c>
      <c r="K49" s="11" t="s">
        <v>20</v>
      </c>
      <c r="L49" s="9">
        <v>0</v>
      </c>
      <c r="M49" s="9">
        <v>0</v>
      </c>
      <c r="N49" s="9">
        <f t="shared" si="11"/>
        <v>0</v>
      </c>
      <c r="Q49" s="11" t="s">
        <v>20</v>
      </c>
      <c r="R49" s="9">
        <v>0</v>
      </c>
      <c r="S49" s="9">
        <v>0</v>
      </c>
      <c r="T49" s="9">
        <f t="shared" si="10"/>
        <v>0</v>
      </c>
    </row>
    <row r="50" spans="1:20" ht="8.1" customHeight="1" x14ac:dyDescent="0.3">
      <c r="B50" s="10"/>
      <c r="C50" s="10"/>
      <c r="D50" s="10"/>
      <c r="E50" s="10"/>
      <c r="F50" s="10"/>
      <c r="G50" s="10"/>
      <c r="K50" s="10"/>
      <c r="L50" s="10"/>
      <c r="Q50" s="10"/>
      <c r="R50" s="10"/>
    </row>
    <row r="51" spans="1:20" x14ac:dyDescent="0.3">
      <c r="A51" s="5" t="s">
        <v>29</v>
      </c>
      <c r="B51" s="4" t="s">
        <v>3</v>
      </c>
      <c r="C51" s="4" t="s">
        <v>4</v>
      </c>
      <c r="D51" s="4" t="s">
        <v>5</v>
      </c>
      <c r="F51" s="5" t="s">
        <v>30</v>
      </c>
      <c r="G51" s="4" t="s">
        <v>3</v>
      </c>
      <c r="H51" s="4" t="s">
        <v>4</v>
      </c>
      <c r="I51" s="4" t="s">
        <v>5</v>
      </c>
      <c r="K51" s="6" t="s">
        <v>31</v>
      </c>
      <c r="L51" s="4" t="s">
        <v>3</v>
      </c>
      <c r="M51" s="4" t="s">
        <v>4</v>
      </c>
      <c r="N51" s="4" t="s">
        <v>5</v>
      </c>
      <c r="Q51" s="6" t="s">
        <v>32</v>
      </c>
      <c r="R51" s="4" t="s">
        <v>3</v>
      </c>
      <c r="S51" s="4" t="s">
        <v>4</v>
      </c>
      <c r="T51" s="4" t="s">
        <v>5</v>
      </c>
    </row>
    <row r="52" spans="1:20" ht="3" customHeight="1" x14ac:dyDescent="0.3">
      <c r="A52" s="7"/>
      <c r="B52" s="7"/>
      <c r="C52" s="7"/>
      <c r="D52" s="7"/>
      <c r="F52" s="7"/>
      <c r="G52" s="7"/>
      <c r="H52" s="7"/>
      <c r="I52" s="7"/>
      <c r="K52" s="7"/>
      <c r="L52" s="7"/>
      <c r="M52" s="7"/>
      <c r="N52" s="7"/>
      <c r="Q52" s="7"/>
      <c r="R52" s="7"/>
      <c r="S52" s="7"/>
      <c r="T52" s="7"/>
    </row>
    <row r="53" spans="1:20" ht="11.1" customHeight="1" x14ac:dyDescent="0.3">
      <c r="A53" s="8" t="s">
        <v>9</v>
      </c>
      <c r="B53" s="9">
        <v>250842000.41</v>
      </c>
      <c r="C53" s="9">
        <v>250842000.12</v>
      </c>
      <c r="D53" s="9">
        <f t="shared" ref="D53:D64" si="12">+B53-C53</f>
        <v>0.28999999165534973</v>
      </c>
      <c r="E53" s="10"/>
      <c r="F53" s="8" t="s">
        <v>9</v>
      </c>
      <c r="G53" s="9">
        <v>776910871.23000002</v>
      </c>
      <c r="H53" s="9">
        <v>776910871.23000002</v>
      </c>
      <c r="I53" s="9">
        <f t="shared" ref="I53:I64" si="13">+G53-H53</f>
        <v>0</v>
      </c>
      <c r="K53" s="8" t="s">
        <v>9</v>
      </c>
      <c r="L53" s="9">
        <v>16444784.52</v>
      </c>
      <c r="M53" s="9">
        <v>0</v>
      </c>
      <c r="N53" s="9"/>
      <c r="Q53" s="8" t="s">
        <v>9</v>
      </c>
      <c r="R53" s="9">
        <v>0</v>
      </c>
      <c r="S53" s="9">
        <v>0</v>
      </c>
      <c r="T53" s="9">
        <f t="shared" ref="T53:T64" si="14">+R53-S53</f>
        <v>0</v>
      </c>
    </row>
    <row r="54" spans="1:20" ht="11.1" customHeight="1" x14ac:dyDescent="0.3">
      <c r="A54" s="11" t="s">
        <v>10</v>
      </c>
      <c r="B54" s="9">
        <v>245382000.41</v>
      </c>
      <c r="C54" s="9">
        <v>245382000.12</v>
      </c>
      <c r="D54" s="9">
        <f t="shared" si="12"/>
        <v>0.28999999165534973</v>
      </c>
      <c r="E54" s="10"/>
      <c r="F54" s="11" t="s">
        <v>10</v>
      </c>
      <c r="G54" s="9">
        <v>1622306713.3699999</v>
      </c>
      <c r="H54" s="9">
        <v>1622306713.3699999</v>
      </c>
      <c r="I54" s="9">
        <f t="shared" si="13"/>
        <v>0</v>
      </c>
      <c r="K54" s="11" t="s">
        <v>10</v>
      </c>
      <c r="L54" s="9">
        <v>16444784.52</v>
      </c>
      <c r="M54" s="9">
        <v>0</v>
      </c>
      <c r="N54" s="9"/>
      <c r="Q54" s="11" t="s">
        <v>10</v>
      </c>
      <c r="R54" s="9">
        <v>0</v>
      </c>
      <c r="S54" s="9">
        <v>0</v>
      </c>
      <c r="T54" s="9">
        <f t="shared" si="14"/>
        <v>0</v>
      </c>
    </row>
    <row r="55" spans="1:20" ht="10.5" customHeight="1" x14ac:dyDescent="0.3">
      <c r="A55" s="11" t="s">
        <v>11</v>
      </c>
      <c r="B55" s="9">
        <v>256718000.41</v>
      </c>
      <c r="C55" s="9">
        <v>256718000.12</v>
      </c>
      <c r="D55" s="9">
        <f t="shared" si="12"/>
        <v>0.28999999165534973</v>
      </c>
      <c r="E55" s="10"/>
      <c r="F55" s="11" t="s">
        <v>11</v>
      </c>
      <c r="G55" s="9">
        <v>1153122305.5999999</v>
      </c>
      <c r="H55" s="9">
        <v>1153122305.5999999</v>
      </c>
      <c r="I55" s="9">
        <f t="shared" si="13"/>
        <v>0</v>
      </c>
      <c r="K55" s="11" t="s">
        <v>11</v>
      </c>
      <c r="L55" s="9">
        <v>16444784.52</v>
      </c>
      <c r="M55" s="9">
        <v>0</v>
      </c>
      <c r="N55" s="9"/>
      <c r="Q55" s="11" t="s">
        <v>11</v>
      </c>
      <c r="R55" s="9">
        <v>0</v>
      </c>
      <c r="S55" s="9">
        <v>0</v>
      </c>
      <c r="T55" s="9">
        <f t="shared" si="14"/>
        <v>0</v>
      </c>
    </row>
    <row r="56" spans="1:20" ht="11.1" customHeight="1" x14ac:dyDescent="0.3">
      <c r="A56" s="11" t="s">
        <v>12</v>
      </c>
      <c r="B56" s="12">
        <v>248216000.41</v>
      </c>
      <c r="C56" s="12">
        <v>248216000.12</v>
      </c>
      <c r="D56" s="12">
        <f t="shared" si="12"/>
        <v>0.28999999165534973</v>
      </c>
      <c r="E56" s="10"/>
      <c r="F56" s="11" t="s">
        <v>12</v>
      </c>
      <c r="G56" s="9">
        <v>1839530040.8199999</v>
      </c>
      <c r="H56" s="9">
        <v>1839530040.8199999</v>
      </c>
      <c r="I56" s="9">
        <f t="shared" si="13"/>
        <v>0</v>
      </c>
      <c r="K56" s="11" t="s">
        <v>12</v>
      </c>
      <c r="L56" s="13">
        <v>16444784.52</v>
      </c>
      <c r="M56" s="9">
        <v>0</v>
      </c>
      <c r="N56" s="9"/>
      <c r="Q56" s="11" t="s">
        <v>12</v>
      </c>
      <c r="R56" s="9">
        <v>0</v>
      </c>
      <c r="S56" s="9">
        <v>0</v>
      </c>
      <c r="T56" s="9">
        <f t="shared" si="14"/>
        <v>0</v>
      </c>
    </row>
    <row r="57" spans="1:20" ht="10.5" customHeight="1" x14ac:dyDescent="0.3">
      <c r="A57" s="11" t="s">
        <v>13</v>
      </c>
      <c r="B57" s="9">
        <v>0</v>
      </c>
      <c r="C57" s="9">
        <v>0</v>
      </c>
      <c r="D57" s="9">
        <f t="shared" si="12"/>
        <v>0</v>
      </c>
      <c r="E57" s="10"/>
      <c r="F57" s="11" t="s">
        <v>13</v>
      </c>
      <c r="G57" s="9">
        <v>0</v>
      </c>
      <c r="H57" s="9">
        <v>0</v>
      </c>
      <c r="I57" s="9">
        <f t="shared" si="13"/>
        <v>0</v>
      </c>
      <c r="K57" s="11" t="s">
        <v>13</v>
      </c>
      <c r="L57" s="17">
        <v>0</v>
      </c>
      <c r="M57" s="9">
        <v>0</v>
      </c>
      <c r="N57" s="9"/>
      <c r="Q57" s="11" t="s">
        <v>13</v>
      </c>
      <c r="R57" s="9">
        <v>0</v>
      </c>
      <c r="S57" s="9">
        <v>0</v>
      </c>
      <c r="T57" s="9">
        <f t="shared" si="14"/>
        <v>0</v>
      </c>
    </row>
    <row r="58" spans="1:20" ht="10.5" customHeight="1" x14ac:dyDescent="0.3">
      <c r="A58" s="11" t="s">
        <v>14</v>
      </c>
      <c r="B58" s="9">
        <v>0</v>
      </c>
      <c r="C58" s="9">
        <v>0</v>
      </c>
      <c r="D58" s="9">
        <f t="shared" si="12"/>
        <v>0</v>
      </c>
      <c r="E58" s="10"/>
      <c r="F58" s="11" t="s">
        <v>14</v>
      </c>
      <c r="G58" s="9">
        <v>0</v>
      </c>
      <c r="H58" s="9">
        <v>0</v>
      </c>
      <c r="I58" s="9">
        <f t="shared" si="13"/>
        <v>0</v>
      </c>
      <c r="K58" s="11" t="s">
        <v>14</v>
      </c>
      <c r="L58" s="9">
        <v>0</v>
      </c>
      <c r="M58" s="9">
        <v>0</v>
      </c>
      <c r="N58" s="9"/>
      <c r="Q58" s="11" t="s">
        <v>14</v>
      </c>
      <c r="R58" s="9">
        <v>0</v>
      </c>
      <c r="S58" s="9">
        <v>0</v>
      </c>
      <c r="T58" s="9">
        <f t="shared" si="14"/>
        <v>0</v>
      </c>
    </row>
    <row r="59" spans="1:20" ht="11.1" customHeight="1" x14ac:dyDescent="0.3">
      <c r="A59" s="11" t="s">
        <v>15</v>
      </c>
      <c r="B59" s="9">
        <v>0</v>
      </c>
      <c r="C59" s="9">
        <v>0</v>
      </c>
      <c r="D59" s="9">
        <f t="shared" si="12"/>
        <v>0</v>
      </c>
      <c r="E59" s="10"/>
      <c r="F59" s="11" t="s">
        <v>15</v>
      </c>
      <c r="G59" s="9">
        <v>0</v>
      </c>
      <c r="H59" s="9">
        <v>0</v>
      </c>
      <c r="I59" s="9">
        <f t="shared" si="13"/>
        <v>0</v>
      </c>
      <c r="K59" s="11" t="s">
        <v>15</v>
      </c>
      <c r="L59" s="9">
        <v>0</v>
      </c>
      <c r="M59" s="9">
        <v>0</v>
      </c>
      <c r="N59" s="9"/>
      <c r="Q59" s="11" t="s">
        <v>15</v>
      </c>
      <c r="R59" s="9">
        <v>0</v>
      </c>
      <c r="S59" s="9">
        <v>0</v>
      </c>
      <c r="T59" s="9">
        <f t="shared" si="14"/>
        <v>0</v>
      </c>
    </row>
    <row r="60" spans="1:20" ht="11.1" customHeight="1" x14ac:dyDescent="0.3">
      <c r="A60" s="11" t="s">
        <v>16</v>
      </c>
      <c r="B60" s="9">
        <v>0</v>
      </c>
      <c r="C60" s="9">
        <v>0</v>
      </c>
      <c r="D60" s="9">
        <f t="shared" si="12"/>
        <v>0</v>
      </c>
      <c r="E60" s="10"/>
      <c r="F60" s="11" t="s">
        <v>16</v>
      </c>
      <c r="G60" s="9">
        <v>0</v>
      </c>
      <c r="H60" s="9">
        <v>0</v>
      </c>
      <c r="I60" s="9">
        <f t="shared" si="13"/>
        <v>0</v>
      </c>
      <c r="K60" s="11" t="s">
        <v>16</v>
      </c>
      <c r="L60" s="9">
        <v>0</v>
      </c>
      <c r="M60" s="9">
        <v>0</v>
      </c>
      <c r="N60" s="9"/>
      <c r="Q60" s="11" t="s">
        <v>16</v>
      </c>
      <c r="R60" s="9">
        <v>0</v>
      </c>
      <c r="S60" s="9">
        <v>0</v>
      </c>
      <c r="T60" s="9">
        <f t="shared" si="14"/>
        <v>0</v>
      </c>
    </row>
    <row r="61" spans="1:20" ht="11.1" customHeight="1" x14ac:dyDescent="0.3">
      <c r="A61" s="11" t="s">
        <v>17</v>
      </c>
      <c r="B61" s="9">
        <v>0</v>
      </c>
      <c r="C61" s="9">
        <v>0</v>
      </c>
      <c r="D61" s="9">
        <f t="shared" si="12"/>
        <v>0</v>
      </c>
      <c r="E61" s="10"/>
      <c r="F61" s="11" t="s">
        <v>17</v>
      </c>
      <c r="G61" s="9">
        <v>0</v>
      </c>
      <c r="H61" s="9">
        <v>0</v>
      </c>
      <c r="I61" s="9">
        <f t="shared" si="13"/>
        <v>0</v>
      </c>
      <c r="K61" s="11" t="s">
        <v>17</v>
      </c>
      <c r="L61" s="9">
        <v>0</v>
      </c>
      <c r="M61" s="9">
        <v>0</v>
      </c>
      <c r="N61" s="9"/>
      <c r="Q61" s="11" t="s">
        <v>17</v>
      </c>
      <c r="R61" s="9">
        <v>0</v>
      </c>
      <c r="S61" s="9">
        <v>0</v>
      </c>
      <c r="T61" s="9">
        <f t="shared" si="14"/>
        <v>0</v>
      </c>
    </row>
    <row r="62" spans="1:20" ht="11.1" customHeight="1" x14ac:dyDescent="0.3">
      <c r="A62" s="11" t="s">
        <v>18</v>
      </c>
      <c r="B62" s="9">
        <v>0</v>
      </c>
      <c r="C62" s="9">
        <v>0</v>
      </c>
      <c r="D62" s="9">
        <f t="shared" si="12"/>
        <v>0</v>
      </c>
      <c r="E62" s="10"/>
      <c r="F62" s="11" t="s">
        <v>18</v>
      </c>
      <c r="G62" s="9">
        <v>0</v>
      </c>
      <c r="H62" s="9">
        <v>0</v>
      </c>
      <c r="I62" s="9">
        <f t="shared" si="13"/>
        <v>0</v>
      </c>
      <c r="K62" s="11" t="s">
        <v>18</v>
      </c>
      <c r="L62" s="9">
        <v>0</v>
      </c>
      <c r="M62" s="9">
        <v>0</v>
      </c>
      <c r="N62" s="9"/>
      <c r="Q62" s="11" t="s">
        <v>18</v>
      </c>
      <c r="R62" s="9">
        <v>0</v>
      </c>
      <c r="S62" s="9">
        <v>0</v>
      </c>
      <c r="T62" s="9">
        <f t="shared" si="14"/>
        <v>0</v>
      </c>
    </row>
    <row r="63" spans="1:20" ht="11.1" customHeight="1" x14ac:dyDescent="0.3">
      <c r="A63" s="11" t="s">
        <v>19</v>
      </c>
      <c r="B63" s="9">
        <v>0</v>
      </c>
      <c r="C63" s="9">
        <v>0</v>
      </c>
      <c r="D63" s="9">
        <f t="shared" si="12"/>
        <v>0</v>
      </c>
      <c r="E63" s="10"/>
      <c r="F63" s="11" t="s">
        <v>19</v>
      </c>
      <c r="G63" s="9">
        <v>0</v>
      </c>
      <c r="H63" s="9">
        <v>0</v>
      </c>
      <c r="I63" s="9">
        <f t="shared" si="13"/>
        <v>0</v>
      </c>
      <c r="K63" s="11" t="s">
        <v>19</v>
      </c>
      <c r="L63" s="9">
        <v>0</v>
      </c>
      <c r="M63" s="9">
        <v>0</v>
      </c>
      <c r="N63" s="9"/>
      <c r="Q63" s="11" t="s">
        <v>19</v>
      </c>
      <c r="R63" s="9">
        <v>0</v>
      </c>
      <c r="S63" s="9">
        <v>0</v>
      </c>
      <c r="T63" s="9">
        <f t="shared" si="14"/>
        <v>0</v>
      </c>
    </row>
    <row r="64" spans="1:20" ht="11.1" customHeight="1" x14ac:dyDescent="0.3">
      <c r="A64" s="11" t="s">
        <v>20</v>
      </c>
      <c r="B64" s="9">
        <v>0</v>
      </c>
      <c r="C64" s="9">
        <v>0</v>
      </c>
      <c r="D64" s="9">
        <f t="shared" si="12"/>
        <v>0</v>
      </c>
      <c r="E64" s="10"/>
      <c r="F64" s="11" t="s">
        <v>20</v>
      </c>
      <c r="G64" s="9">
        <v>0</v>
      </c>
      <c r="H64" s="9">
        <v>0</v>
      </c>
      <c r="I64" s="9">
        <f t="shared" si="13"/>
        <v>0</v>
      </c>
      <c r="K64" s="11" t="s">
        <v>20</v>
      </c>
      <c r="L64" s="9">
        <v>0</v>
      </c>
      <c r="M64" s="9">
        <v>0</v>
      </c>
      <c r="N64" s="9"/>
      <c r="Q64" s="11" t="s">
        <v>20</v>
      </c>
      <c r="R64" s="9">
        <v>0</v>
      </c>
      <c r="S64" s="9">
        <v>0</v>
      </c>
      <c r="T64" s="9">
        <f t="shared" si="14"/>
        <v>0</v>
      </c>
    </row>
    <row r="66" spans="1:18" x14ac:dyDescent="0.3">
      <c r="R66" s="1" t="s">
        <v>33</v>
      </c>
    </row>
    <row r="67" spans="1:18" x14ac:dyDescent="0.3">
      <c r="A67" s="1" t="s">
        <v>34</v>
      </c>
      <c r="F67" s="1" t="s">
        <v>35</v>
      </c>
    </row>
    <row r="68" spans="1:18" x14ac:dyDescent="0.3">
      <c r="A68" s="2" t="s">
        <v>1</v>
      </c>
      <c r="F68" s="2" t="s">
        <v>1</v>
      </c>
    </row>
    <row r="70" spans="1:18" x14ac:dyDescent="0.3">
      <c r="A70" s="5" t="s">
        <v>36</v>
      </c>
      <c r="B70" s="4" t="s">
        <v>37</v>
      </c>
      <c r="C70" s="4" t="s">
        <v>4</v>
      </c>
      <c r="D70" s="4" t="s">
        <v>5</v>
      </c>
      <c r="F70" s="5" t="s">
        <v>38</v>
      </c>
      <c r="G70" s="4" t="s">
        <v>37</v>
      </c>
      <c r="H70" s="4" t="s">
        <v>4</v>
      </c>
      <c r="I70" s="4" t="s">
        <v>5</v>
      </c>
    </row>
    <row r="71" spans="1:18" x14ac:dyDescent="0.3">
      <c r="A71" s="7"/>
      <c r="B71" s="7"/>
      <c r="C71" s="7"/>
      <c r="D71" s="7"/>
      <c r="F71" s="7"/>
      <c r="G71" s="7"/>
      <c r="H71" s="7"/>
      <c r="I71" s="7"/>
    </row>
    <row r="72" spans="1:18" x14ac:dyDescent="0.3">
      <c r="A72" s="8" t="s">
        <v>9</v>
      </c>
      <c r="B72" s="9">
        <v>31691199927.099998</v>
      </c>
      <c r="C72" s="9">
        <v>31691199996.16</v>
      </c>
      <c r="D72" s="9">
        <f t="shared" ref="D72:D84" si="15">+B72-C72</f>
        <v>-69.060001373291016</v>
      </c>
      <c r="F72" s="8" t="s">
        <v>9</v>
      </c>
      <c r="G72" s="9">
        <v>11211033662.139999</v>
      </c>
      <c r="H72" s="9">
        <v>11057773355.950001</v>
      </c>
      <c r="I72" s="9"/>
    </row>
    <row r="73" spans="1:18" x14ac:dyDescent="0.3">
      <c r="A73" s="11" t="s">
        <v>10</v>
      </c>
      <c r="B73" s="9">
        <v>31245559808.099998</v>
      </c>
      <c r="C73" s="9">
        <v>31245559877.16</v>
      </c>
      <c r="D73" s="9">
        <f t="shared" si="15"/>
        <v>-69.060001373291016</v>
      </c>
      <c r="F73" s="11"/>
      <c r="G73" s="9"/>
      <c r="H73" s="9">
        <v>153260307.69999999</v>
      </c>
      <c r="I73" s="9">
        <f>+G72-H72-H73</f>
        <v>-1.5100013613700867</v>
      </c>
    </row>
    <row r="74" spans="1:18" x14ac:dyDescent="0.3">
      <c r="A74" s="11" t="s">
        <v>11</v>
      </c>
      <c r="B74" s="9">
        <v>29221343776.099998</v>
      </c>
      <c r="C74" s="9">
        <v>29221343845.16</v>
      </c>
      <c r="D74" s="9">
        <f t="shared" si="15"/>
        <v>-69.060001373291016</v>
      </c>
      <c r="F74" s="11" t="s">
        <v>10</v>
      </c>
      <c r="G74" s="9">
        <v>17223861595.27</v>
      </c>
      <c r="H74" s="9">
        <v>16853327005.26</v>
      </c>
      <c r="I74" s="9"/>
    </row>
    <row r="75" spans="1:18" x14ac:dyDescent="0.3">
      <c r="A75" s="11" t="s">
        <v>12</v>
      </c>
      <c r="B75" s="9">
        <v>19658007939.849998</v>
      </c>
      <c r="C75" s="9">
        <v>19658008008.91</v>
      </c>
      <c r="D75" s="9">
        <f t="shared" si="15"/>
        <v>-69.060001373291016</v>
      </c>
      <c r="F75" s="11"/>
      <c r="G75" s="9"/>
      <c r="H75" s="9">
        <v>370534590.69999999</v>
      </c>
      <c r="I75" s="9">
        <f>+G74-H74-H75</f>
        <v>-0.68999975919723511</v>
      </c>
    </row>
    <row r="76" spans="1:18" x14ac:dyDescent="0.3">
      <c r="A76" s="11" t="s">
        <v>13</v>
      </c>
      <c r="B76" s="9">
        <v>20889005029.66</v>
      </c>
      <c r="C76" s="9">
        <v>20889005099.470001</v>
      </c>
      <c r="D76" s="9">
        <f t="shared" si="15"/>
        <v>-69.810001373291016</v>
      </c>
      <c r="F76" s="11" t="s">
        <v>11</v>
      </c>
      <c r="G76" s="9">
        <v>10938078889.83</v>
      </c>
      <c r="H76" s="9">
        <v>10589896599.82</v>
      </c>
      <c r="I76" s="9"/>
    </row>
    <row r="77" spans="1:18" x14ac:dyDescent="0.3">
      <c r="A77" s="11" t="s">
        <v>14</v>
      </c>
      <c r="B77" s="9">
        <v>0</v>
      </c>
      <c r="C77" s="9">
        <v>0</v>
      </c>
      <c r="D77" s="9">
        <f t="shared" si="15"/>
        <v>0</v>
      </c>
      <c r="F77" s="11"/>
      <c r="G77" s="9"/>
      <c r="H77" s="9">
        <v>348182290.69999999</v>
      </c>
      <c r="I77" s="9">
        <f>+G76-H76-H77</f>
        <v>-0.68999975919723511</v>
      </c>
    </row>
    <row r="78" spans="1:18" x14ac:dyDescent="0.3">
      <c r="A78" s="11" t="s">
        <v>15</v>
      </c>
      <c r="B78" s="9">
        <v>0</v>
      </c>
      <c r="C78" s="9">
        <v>0</v>
      </c>
      <c r="D78" s="9">
        <f t="shared" si="15"/>
        <v>0</v>
      </c>
      <c r="F78" s="11" t="s">
        <v>12</v>
      </c>
      <c r="G78" s="9">
        <v>8238241410.0200005</v>
      </c>
      <c r="H78" s="9">
        <v>7966923124.0900002</v>
      </c>
      <c r="I78" s="9"/>
    </row>
    <row r="79" spans="1:18" x14ac:dyDescent="0.3">
      <c r="A79" s="11" t="s">
        <v>16</v>
      </c>
      <c r="B79" s="9">
        <v>0</v>
      </c>
      <c r="C79" s="9">
        <v>0</v>
      </c>
      <c r="D79" s="9">
        <f t="shared" si="15"/>
        <v>0</v>
      </c>
      <c r="F79" s="11"/>
      <c r="G79" s="9"/>
      <c r="H79" s="9">
        <v>271318286.62</v>
      </c>
      <c r="I79" s="9">
        <f>+G78-H78-H79</f>
        <v>-0.68999969959259033</v>
      </c>
    </row>
    <row r="80" spans="1:18" x14ac:dyDescent="0.3">
      <c r="A80" s="11" t="s">
        <v>17</v>
      </c>
      <c r="B80" s="9">
        <v>0</v>
      </c>
      <c r="C80" s="9">
        <v>0</v>
      </c>
      <c r="D80" s="9">
        <f t="shared" si="15"/>
        <v>0</v>
      </c>
      <c r="F80" s="11" t="s">
        <v>13</v>
      </c>
      <c r="G80" s="9">
        <v>12004185032.26</v>
      </c>
      <c r="H80" s="9">
        <v>11672613286.33</v>
      </c>
      <c r="I80" s="9"/>
    </row>
    <row r="81" spans="1:9" x14ac:dyDescent="0.3">
      <c r="A81" s="11" t="s">
        <v>18</v>
      </c>
      <c r="B81" s="9">
        <v>0</v>
      </c>
      <c r="C81" s="9">
        <v>0</v>
      </c>
      <c r="D81" s="9">
        <f t="shared" si="15"/>
        <v>0</v>
      </c>
      <c r="F81" s="11"/>
      <c r="G81" s="9"/>
      <c r="H81" s="9">
        <v>331571746.88</v>
      </c>
      <c r="I81" s="9">
        <f>+G80-H80-H81</f>
        <v>-0.94999969005584717</v>
      </c>
    </row>
    <row r="82" spans="1:9" x14ac:dyDescent="0.3">
      <c r="A82" s="11" t="s">
        <v>19</v>
      </c>
      <c r="B82" s="9">
        <v>0</v>
      </c>
      <c r="C82" s="9">
        <v>0</v>
      </c>
      <c r="D82" s="9">
        <f t="shared" si="15"/>
        <v>0</v>
      </c>
      <c r="F82" s="11" t="s">
        <v>14</v>
      </c>
      <c r="G82" s="9">
        <v>0</v>
      </c>
      <c r="H82" s="9">
        <v>0</v>
      </c>
      <c r="I82" s="9"/>
    </row>
    <row r="83" spans="1:9" x14ac:dyDescent="0.3">
      <c r="A83" s="11" t="s">
        <v>20</v>
      </c>
      <c r="B83" s="9">
        <v>0</v>
      </c>
      <c r="C83" s="9">
        <v>0</v>
      </c>
      <c r="D83" s="9">
        <f t="shared" si="15"/>
        <v>0</v>
      </c>
      <c r="F83" s="11"/>
      <c r="G83" s="9"/>
      <c r="H83" s="9">
        <v>0</v>
      </c>
      <c r="I83" s="9">
        <f>+G82-H82-H83</f>
        <v>0</v>
      </c>
    </row>
    <row r="84" spans="1:9" x14ac:dyDescent="0.3">
      <c r="B84" s="14">
        <v>0</v>
      </c>
      <c r="C84" s="14">
        <v>0</v>
      </c>
      <c r="D84" s="14">
        <f t="shared" si="15"/>
        <v>0</v>
      </c>
      <c r="F84" s="11" t="s">
        <v>15</v>
      </c>
      <c r="G84" s="9">
        <v>0</v>
      </c>
      <c r="H84" s="9">
        <v>0</v>
      </c>
      <c r="I84" s="9"/>
    </row>
    <row r="85" spans="1:9" x14ac:dyDescent="0.3">
      <c r="B85" s="15"/>
      <c r="F85" s="11"/>
      <c r="G85" s="9"/>
      <c r="H85" s="9">
        <v>0</v>
      </c>
      <c r="I85" s="9">
        <f>+G84-H84-H85</f>
        <v>0</v>
      </c>
    </row>
    <row r="86" spans="1:9" x14ac:dyDescent="0.3">
      <c r="F86" s="11" t="s">
        <v>16</v>
      </c>
      <c r="G86" s="9">
        <v>0</v>
      </c>
      <c r="H86" s="9">
        <v>0</v>
      </c>
      <c r="I86" s="9"/>
    </row>
    <row r="87" spans="1:9" x14ac:dyDescent="0.3">
      <c r="F87" s="11"/>
      <c r="G87" s="9"/>
      <c r="H87" s="9">
        <v>0</v>
      </c>
      <c r="I87" s="9">
        <f>+G86-H86-H87</f>
        <v>0</v>
      </c>
    </row>
    <row r="88" spans="1:9" x14ac:dyDescent="0.3">
      <c r="F88" s="11" t="s">
        <v>17</v>
      </c>
      <c r="G88" s="9">
        <v>0</v>
      </c>
      <c r="H88" s="9">
        <v>0</v>
      </c>
      <c r="I88" s="9"/>
    </row>
    <row r="89" spans="1:9" x14ac:dyDescent="0.3">
      <c r="F89" s="11"/>
      <c r="G89" s="9"/>
      <c r="H89" s="9">
        <v>0</v>
      </c>
      <c r="I89" s="9">
        <f>+G88-H88-H89</f>
        <v>0</v>
      </c>
    </row>
    <row r="90" spans="1:9" x14ac:dyDescent="0.3">
      <c r="F90" s="11" t="s">
        <v>18</v>
      </c>
      <c r="G90" s="9">
        <v>0</v>
      </c>
      <c r="H90" s="9">
        <v>0</v>
      </c>
      <c r="I90" s="9"/>
    </row>
    <row r="91" spans="1:9" ht="12" customHeight="1" x14ac:dyDescent="0.3">
      <c r="F91" s="11"/>
      <c r="G91" s="9"/>
      <c r="H91" s="9">
        <v>0</v>
      </c>
      <c r="I91" s="9">
        <f>+G90-H90-H91</f>
        <v>0</v>
      </c>
    </row>
    <row r="92" spans="1:9" x14ac:dyDescent="0.3">
      <c r="F92" s="11" t="s">
        <v>19</v>
      </c>
      <c r="G92" s="9">
        <v>0</v>
      </c>
      <c r="H92" s="9">
        <v>0</v>
      </c>
      <c r="I92" s="9"/>
    </row>
    <row r="93" spans="1:9" x14ac:dyDescent="0.3">
      <c r="F93" s="11"/>
      <c r="G93" s="9"/>
      <c r="H93" s="9">
        <v>0</v>
      </c>
      <c r="I93" s="9">
        <f>+G92-H92-H93</f>
        <v>0</v>
      </c>
    </row>
    <row r="94" spans="1:9" x14ac:dyDescent="0.3">
      <c r="F94" s="11" t="s">
        <v>20</v>
      </c>
      <c r="G94" s="9">
        <v>0</v>
      </c>
      <c r="H94" s="9">
        <v>0</v>
      </c>
      <c r="I94" s="9"/>
    </row>
    <row r="95" spans="1:9" x14ac:dyDescent="0.3">
      <c r="F95" s="11"/>
      <c r="G95" s="9"/>
      <c r="H95" s="9">
        <v>0</v>
      </c>
      <c r="I95" s="9">
        <f>+G94-H94-H95</f>
        <v>0</v>
      </c>
    </row>
    <row r="96" spans="1:9" x14ac:dyDescent="0.3">
      <c r="G96" s="16">
        <v>0</v>
      </c>
      <c r="H96" s="14">
        <v>0</v>
      </c>
    </row>
    <row r="97" spans="8:9" x14ac:dyDescent="0.3">
      <c r="H97" s="14">
        <v>0</v>
      </c>
      <c r="I97" s="9">
        <f>+G96-H96-H97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WIRA_PC</dc:creator>
  <cp:lastModifiedBy>USer</cp:lastModifiedBy>
  <dcterms:created xsi:type="dcterms:W3CDTF">2026-07-03T10:13:31Z</dcterms:created>
  <dcterms:modified xsi:type="dcterms:W3CDTF">2026-07-03T10:24:55Z</dcterms:modified>
</cp:coreProperties>
</file>