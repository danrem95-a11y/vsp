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TV\debug\"/>
    </mc:Choice>
  </mc:AlternateContent>
  <xr:revisionPtr revIDLastSave="0" documentId="8_{31B04FBD-E61A-4028-A394-791D5931CDC8}" xr6:coauthVersionLast="40" xr6:coauthVersionMax="40" xr10:uidLastSave="{00000000-0000-0000-0000-000000000000}"/>
  <bookViews>
    <workbookView xWindow="0" yWindow="0" windowWidth="23040" windowHeight="9048" activeTab="5" xr2:uid="{00000000-000D-0000-FFFF-FFFF00000000}"/>
  </bookViews>
  <sheets>
    <sheet name="Kendaraan" sheetId="4" r:id="rId1"/>
    <sheet name="Bangunan" sheetId="5" r:id="rId2"/>
    <sheet name="Tanah" sheetId="6" r:id="rId3"/>
    <sheet name="Perl. Kantor" sheetId="7" r:id="rId4"/>
    <sheet name="Perl. Bengkel" sheetId="8" r:id="rId5"/>
    <sheet name="JURNAL" sheetId="9" r:id="rId6"/>
  </sheets>
  <definedNames>
    <definedName name="_xlnm.Print_Area" localSheetId="1">Bangunan!$B$2:$X$55</definedName>
    <definedName name="_xlnm.Print_Area" localSheetId="5">JURNAL!$A$2:$Q$30</definedName>
    <definedName name="_xlnm.Print_Area" localSheetId="0">Kendaraan!$B$6:$F$46</definedName>
    <definedName name="_xlnm.Print_Area" localSheetId="4">'Perl. Bengkel'!$B$2:$BH$73</definedName>
    <definedName name="_xlnm.Print_Area" localSheetId="3">'Perl. Kantor'!$B$2:$BH$215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6" i="9" l="1"/>
  <c r="G26" i="9"/>
  <c r="F26" i="9"/>
  <c r="H25" i="9"/>
  <c r="G25" i="9"/>
  <c r="F25" i="9"/>
  <c r="H24" i="9"/>
  <c r="G24" i="9"/>
  <c r="F24" i="9"/>
  <c r="I23" i="9"/>
  <c r="H23" i="9"/>
  <c r="G23" i="9"/>
  <c r="F23" i="9"/>
  <c r="AR63" i="8"/>
  <c r="AR62" i="8"/>
  <c r="AR61" i="8"/>
  <c r="AR57" i="8"/>
  <c r="AR56" i="8"/>
  <c r="AR55" i="8"/>
  <c r="AR54" i="8"/>
  <c r="AR53" i="8"/>
  <c r="AR52" i="8"/>
  <c r="AR48" i="8"/>
  <c r="AR47" i="8"/>
  <c r="AR46" i="8"/>
  <c r="AR42" i="8"/>
  <c r="AS42" i="8" s="1"/>
  <c r="AT42" i="8" s="1"/>
  <c r="AR41" i="8"/>
  <c r="AR40" i="8"/>
  <c r="AR39" i="8"/>
  <c r="AR38" i="8"/>
  <c r="AR37" i="8"/>
  <c r="AR36" i="8"/>
  <c r="AR35" i="8"/>
  <c r="AR34" i="8"/>
  <c r="AR33" i="8"/>
  <c r="AR32" i="8"/>
  <c r="AR31" i="8"/>
  <c r="AR27" i="8"/>
  <c r="AR25" i="8"/>
  <c r="AR24" i="8"/>
  <c r="AR22" i="8"/>
  <c r="AM21" i="8"/>
  <c r="BH22" i="8"/>
  <c r="BG22" i="8"/>
  <c r="BF22" i="8"/>
  <c r="BE22" i="8"/>
  <c r="BD22" i="8"/>
  <c r="BC22" i="8"/>
  <c r="BB22" i="8"/>
  <c r="BA22" i="8"/>
  <c r="AX21" i="8"/>
  <c r="AW21" i="8"/>
  <c r="AT63" i="8"/>
  <c r="AT57" i="8"/>
  <c r="AT53" i="8"/>
  <c r="AT36" i="8"/>
  <c r="AT34" i="8"/>
  <c r="AT21" i="8"/>
  <c r="AT20" i="8"/>
  <c r="AT19" i="8"/>
  <c r="AT18" i="8"/>
  <c r="AT17" i="8"/>
  <c r="AT16" i="8"/>
  <c r="AT15" i="8"/>
  <c r="AT14" i="8"/>
  <c r="AT13" i="8"/>
  <c r="AT12" i="8"/>
  <c r="AO12" i="8"/>
  <c r="AP63" i="8"/>
  <c r="AP62" i="8"/>
  <c r="AP61" i="8"/>
  <c r="AP57" i="8"/>
  <c r="AP56" i="8"/>
  <c r="AP55" i="8"/>
  <c r="AP54" i="8"/>
  <c r="AP53" i="8"/>
  <c r="AP52" i="8"/>
  <c r="AP48" i="8"/>
  <c r="AP47" i="8"/>
  <c r="AP46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27" i="8"/>
  <c r="AP25" i="8"/>
  <c r="AP24" i="8"/>
  <c r="AS24" i="8" s="1"/>
  <c r="AT24" i="8" s="1"/>
  <c r="AP22" i="8"/>
  <c r="AP21" i="8"/>
  <c r="AP20" i="8"/>
  <c r="AP19" i="8"/>
  <c r="AS63" i="8"/>
  <c r="AS62" i="8"/>
  <c r="AT62" i="8" s="1"/>
  <c r="AQ61" i="8"/>
  <c r="AS57" i="8"/>
  <c r="AQ57" i="8"/>
  <c r="AS56" i="8"/>
  <c r="AT56" i="8" s="1"/>
  <c r="AQ56" i="8"/>
  <c r="AS55" i="8"/>
  <c r="AT55" i="8" s="1"/>
  <c r="AS53" i="8"/>
  <c r="AQ53" i="8"/>
  <c r="AQ52" i="8"/>
  <c r="AS48" i="8"/>
  <c r="AT48" i="8" s="1"/>
  <c r="AQ48" i="8"/>
  <c r="AS47" i="8"/>
  <c r="AT47" i="8" s="1"/>
  <c r="AS41" i="8"/>
  <c r="AT41" i="8" s="1"/>
  <c r="AQ41" i="8"/>
  <c r="AS40" i="8"/>
  <c r="AT40" i="8" s="1"/>
  <c r="AQ40" i="8"/>
  <c r="AS38" i="8"/>
  <c r="AT38" i="8" s="1"/>
  <c r="AS37" i="8"/>
  <c r="AT37" i="8" s="1"/>
  <c r="AQ37" i="8"/>
  <c r="AS36" i="8"/>
  <c r="AQ36" i="8"/>
  <c r="AS34" i="8"/>
  <c r="AS33" i="8"/>
  <c r="AT33" i="8" s="1"/>
  <c r="AQ33" i="8"/>
  <c r="AS32" i="8"/>
  <c r="AT32" i="8" s="1"/>
  <c r="AQ32" i="8"/>
  <c r="AS27" i="8"/>
  <c r="AT27" i="8" s="1"/>
  <c r="AQ25" i="8"/>
  <c r="AQ22" i="8"/>
  <c r="AR21" i="8"/>
  <c r="AS21" i="8" s="1"/>
  <c r="AR20" i="8"/>
  <c r="AS20" i="8" s="1"/>
  <c r="AR19" i="8"/>
  <c r="AS19" i="8" s="1"/>
  <c r="AQ19" i="8"/>
  <c r="AR18" i="8"/>
  <c r="AS18" i="8" s="1"/>
  <c r="AR17" i="8"/>
  <c r="AS17" i="8" s="1"/>
  <c r="AR16" i="8"/>
  <c r="AS16" i="8" s="1"/>
  <c r="AS15" i="8"/>
  <c r="AR15" i="8"/>
  <c r="AR14" i="8"/>
  <c r="AS14" i="8" s="1"/>
  <c r="AR13" i="8"/>
  <c r="AS13" i="8" s="1"/>
  <c r="AR12" i="8"/>
  <c r="AS12" i="8" s="1"/>
  <c r="X214" i="7"/>
  <c r="U214" i="7"/>
  <c r="N214" i="7"/>
  <c r="AV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T214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BH202" i="7"/>
  <c r="BG202" i="7"/>
  <c r="BF202" i="7"/>
  <c r="BE202" i="7"/>
  <c r="BD202" i="7"/>
  <c r="BC202" i="7"/>
  <c r="BB202" i="7"/>
  <c r="BA202" i="7"/>
  <c r="AZ202" i="7"/>
  <c r="AY202" i="7"/>
  <c r="AX202" i="7"/>
  <c r="AW202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R204" i="7"/>
  <c r="AR203" i="7"/>
  <c r="AR202" i="7"/>
  <c r="AR201" i="7"/>
  <c r="AR200" i="7"/>
  <c r="AR199" i="7"/>
  <c r="AR198" i="7"/>
  <c r="AR197" i="7"/>
  <c r="AS197" i="7" s="1"/>
  <c r="AT197" i="7" s="1"/>
  <c r="AR196" i="7"/>
  <c r="AR195" i="7"/>
  <c r="AR191" i="7"/>
  <c r="AR190" i="7"/>
  <c r="AR189" i="7"/>
  <c r="AR188" i="7"/>
  <c r="AR187" i="7"/>
  <c r="AR186" i="7"/>
  <c r="AR185" i="7"/>
  <c r="AR184" i="7"/>
  <c r="AR183" i="7"/>
  <c r="AR179" i="7"/>
  <c r="AR178" i="7"/>
  <c r="AR177" i="7"/>
  <c r="AR176" i="7"/>
  <c r="AR175" i="7"/>
  <c r="AR174" i="7"/>
  <c r="AR173" i="7"/>
  <c r="AR169" i="7"/>
  <c r="AR168" i="7"/>
  <c r="AR167" i="7"/>
  <c r="AR166" i="7"/>
  <c r="AR165" i="7"/>
  <c r="AR164" i="7"/>
  <c r="AS164" i="7" s="1"/>
  <c r="AT164" i="7" s="1"/>
  <c r="BH169" i="7"/>
  <c r="BH168" i="7"/>
  <c r="BH167" i="7"/>
  <c r="BG167" i="7"/>
  <c r="BF167" i="7"/>
  <c r="BE167" i="7"/>
  <c r="BD167" i="7"/>
  <c r="BH166" i="7"/>
  <c r="BG166" i="7"/>
  <c r="BF166" i="7"/>
  <c r="BE166" i="7"/>
  <c r="BD166" i="7"/>
  <c r="BC166" i="7"/>
  <c r="BH165" i="7"/>
  <c r="BG165" i="7"/>
  <c r="BF165" i="7"/>
  <c r="BE165" i="7"/>
  <c r="BD165" i="7"/>
  <c r="BC165" i="7"/>
  <c r="BB165" i="7"/>
  <c r="BA165" i="7"/>
  <c r="AZ165" i="7"/>
  <c r="AY165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BH146" i="7"/>
  <c r="BG146" i="7"/>
  <c r="BF146" i="7"/>
  <c r="BE146" i="7"/>
  <c r="BD146" i="7"/>
  <c r="BC146" i="7"/>
  <c r="BB146" i="7"/>
  <c r="BA146" i="7"/>
  <c r="AZ146" i="7"/>
  <c r="AY146" i="7"/>
  <c r="AX146" i="7"/>
  <c r="AW146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T202" i="7"/>
  <c r="AT198" i="7"/>
  <c r="AT177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P209" i="7"/>
  <c r="AR209" i="7" s="1"/>
  <c r="AS209" i="7" s="1"/>
  <c r="AT209" i="7" s="1"/>
  <c r="AP208" i="7"/>
  <c r="AR208" i="7" s="1"/>
  <c r="AP204" i="7"/>
  <c r="AP203" i="7"/>
  <c r="AP202" i="7"/>
  <c r="AP201" i="7"/>
  <c r="AP200" i="7"/>
  <c r="AP199" i="7"/>
  <c r="AP198" i="7"/>
  <c r="AP197" i="7"/>
  <c r="AQ197" i="7" s="1"/>
  <c r="AP196" i="7"/>
  <c r="AP195" i="7"/>
  <c r="AP191" i="7"/>
  <c r="AP190" i="7"/>
  <c r="AP189" i="7"/>
  <c r="AP188" i="7"/>
  <c r="AS188" i="7" s="1"/>
  <c r="AT188" i="7" s="1"/>
  <c r="AP187" i="7"/>
  <c r="AP186" i="7"/>
  <c r="AP185" i="7"/>
  <c r="AP184" i="7"/>
  <c r="AS184" i="7" s="1"/>
  <c r="AT184" i="7" s="1"/>
  <c r="AP183" i="7"/>
  <c r="AP179" i="7"/>
  <c r="AP178" i="7"/>
  <c r="AP177" i="7"/>
  <c r="AP176" i="7"/>
  <c r="AP175" i="7"/>
  <c r="AP174" i="7"/>
  <c r="AP173" i="7"/>
  <c r="AP169" i="7"/>
  <c r="AP168" i="7"/>
  <c r="AP167" i="7"/>
  <c r="AP166" i="7"/>
  <c r="AP165" i="7"/>
  <c r="AP164" i="7"/>
  <c r="AP160" i="7"/>
  <c r="AP159" i="7"/>
  <c r="AP158" i="7"/>
  <c r="AP157" i="7"/>
  <c r="AR157" i="7" s="1"/>
  <c r="AS157" i="7" s="1"/>
  <c r="AP156" i="7"/>
  <c r="AP155" i="7"/>
  <c r="AP154" i="7"/>
  <c r="AP153" i="7"/>
  <c r="AR153" i="7" s="1"/>
  <c r="AS153" i="7" s="1"/>
  <c r="AP152" i="7"/>
  <c r="AP151" i="7"/>
  <c r="AP150" i="7"/>
  <c r="AP149" i="7"/>
  <c r="AQ149" i="7" s="1"/>
  <c r="AP148" i="7"/>
  <c r="AP147" i="7"/>
  <c r="AP146" i="7"/>
  <c r="AP145" i="7"/>
  <c r="AR145" i="7" s="1"/>
  <c r="AS145" i="7" s="1"/>
  <c r="AP144" i="7"/>
  <c r="AP140" i="7"/>
  <c r="AP139" i="7"/>
  <c r="AP138" i="7"/>
  <c r="AP137" i="7"/>
  <c r="AQ137" i="7" s="1"/>
  <c r="AP136" i="7"/>
  <c r="AP135" i="7"/>
  <c r="AP134" i="7"/>
  <c r="AP132" i="7"/>
  <c r="AP131" i="7"/>
  <c r="AP130" i="7"/>
  <c r="AP129" i="7"/>
  <c r="AR129" i="7" s="1"/>
  <c r="AS129" i="7" s="1"/>
  <c r="AT129" i="7" s="1"/>
  <c r="AP128" i="7"/>
  <c r="AP127" i="7"/>
  <c r="AP125" i="7"/>
  <c r="AP124" i="7"/>
  <c r="AP123" i="7"/>
  <c r="AP122" i="7"/>
  <c r="AR122" i="7" s="1"/>
  <c r="AS122" i="7" s="1"/>
  <c r="AT122" i="7" s="1"/>
  <c r="AP121" i="7"/>
  <c r="AP120" i="7"/>
  <c r="AP119" i="7"/>
  <c r="AP118" i="7"/>
  <c r="AR118" i="7" s="1"/>
  <c r="AS118" i="7" s="1"/>
  <c r="AT118" i="7" s="1"/>
  <c r="AP117" i="7"/>
  <c r="AP116" i="7"/>
  <c r="AP115" i="7"/>
  <c r="AP114" i="7"/>
  <c r="AR114" i="7" s="1"/>
  <c r="AS114" i="7" s="1"/>
  <c r="AT114" i="7" s="1"/>
  <c r="AP113" i="7"/>
  <c r="AP112" i="7"/>
  <c r="AP111" i="7"/>
  <c r="AP110" i="7"/>
  <c r="AR110" i="7" s="1"/>
  <c r="AS110" i="7" s="1"/>
  <c r="AT110" i="7" s="1"/>
  <c r="AP109" i="7"/>
  <c r="AP108" i="7"/>
  <c r="AP107" i="7"/>
  <c r="AP106" i="7"/>
  <c r="AP105" i="7"/>
  <c r="AP104" i="7"/>
  <c r="AP103" i="7"/>
  <c r="AP102" i="7"/>
  <c r="AR102" i="7" s="1"/>
  <c r="AS102" i="7" s="1"/>
  <c r="AT102" i="7" s="1"/>
  <c r="AP101" i="7"/>
  <c r="AP100" i="7"/>
  <c r="AP99" i="7"/>
  <c r="AP98" i="7"/>
  <c r="AR98" i="7" s="1"/>
  <c r="AS98" i="7" s="1"/>
  <c r="AT98" i="7" s="1"/>
  <c r="AP97" i="7"/>
  <c r="AP96" i="7"/>
  <c r="AP95" i="7"/>
  <c r="AP94" i="7"/>
  <c r="AR94" i="7" s="1"/>
  <c r="AS94" i="7" s="1"/>
  <c r="AT94" i="7" s="1"/>
  <c r="AP93" i="7"/>
  <c r="AP92" i="7"/>
  <c r="AP91" i="7"/>
  <c r="AP90" i="7"/>
  <c r="AP89" i="7"/>
  <c r="AP88" i="7"/>
  <c r="AP87" i="7"/>
  <c r="AP86" i="7"/>
  <c r="AR86" i="7" s="1"/>
  <c r="AS86" i="7" s="1"/>
  <c r="AT86" i="7" s="1"/>
  <c r="AP85" i="7"/>
  <c r="AP84" i="7"/>
  <c r="AP83" i="7"/>
  <c r="AP82" i="7"/>
  <c r="AR82" i="7" s="1"/>
  <c r="AS82" i="7" s="1"/>
  <c r="AT82" i="7" s="1"/>
  <c r="AP81" i="7"/>
  <c r="AP80" i="7"/>
  <c r="AP79" i="7"/>
  <c r="AP78" i="7"/>
  <c r="AQ78" i="7" s="1"/>
  <c r="AP77" i="7"/>
  <c r="AP76" i="7"/>
  <c r="AP75" i="7"/>
  <c r="AP74" i="7"/>
  <c r="AR74" i="7" s="1"/>
  <c r="AS74" i="7" s="1"/>
  <c r="AT74" i="7" s="1"/>
  <c r="AP73" i="7"/>
  <c r="AP72" i="7"/>
  <c r="AP71" i="7"/>
  <c r="AP70" i="7"/>
  <c r="AQ70" i="7" s="1"/>
  <c r="AP69" i="7"/>
  <c r="AP68" i="7"/>
  <c r="AP67" i="7"/>
  <c r="AP66" i="7"/>
  <c r="AR66" i="7" s="1"/>
  <c r="AS66" i="7" s="1"/>
  <c r="AT66" i="7" s="1"/>
  <c r="AP65" i="7"/>
  <c r="AP64" i="7"/>
  <c r="AP63" i="7"/>
  <c r="AP62" i="7"/>
  <c r="AR62" i="7" s="1"/>
  <c r="AS62" i="7" s="1"/>
  <c r="AT62" i="7" s="1"/>
  <c r="AP61" i="7"/>
  <c r="AP60" i="7"/>
  <c r="AP59" i="7"/>
  <c r="AP58" i="7"/>
  <c r="AR58" i="7" s="1"/>
  <c r="AS58" i="7" s="1"/>
  <c r="AT58" i="7" s="1"/>
  <c r="AP57" i="7"/>
  <c r="AP56" i="7"/>
  <c r="AP55" i="7"/>
  <c r="AP54" i="7"/>
  <c r="AR54" i="7" s="1"/>
  <c r="AS54" i="7" s="1"/>
  <c r="AT54" i="7" s="1"/>
  <c r="AP53" i="7"/>
  <c r="AP52" i="7"/>
  <c r="AP51" i="7"/>
  <c r="AP50" i="7"/>
  <c r="AR50" i="7" s="1"/>
  <c r="AS50" i="7" s="1"/>
  <c r="AT50" i="7" s="1"/>
  <c r="AP49" i="7"/>
  <c r="AP48" i="7"/>
  <c r="AP47" i="7"/>
  <c r="AP46" i="7"/>
  <c r="AR46" i="7" s="1"/>
  <c r="AS46" i="7" s="1"/>
  <c r="AT46" i="7" s="1"/>
  <c r="AP45" i="7"/>
  <c r="AP44" i="7"/>
  <c r="AP43" i="7"/>
  <c r="AP42" i="7"/>
  <c r="AR42" i="7" s="1"/>
  <c r="AS42" i="7" s="1"/>
  <c r="AT42" i="7" s="1"/>
  <c r="AP41" i="7"/>
  <c r="AP40" i="7"/>
  <c r="AP39" i="7"/>
  <c r="AP38" i="7"/>
  <c r="AR38" i="7" s="1"/>
  <c r="AS38" i="7" s="1"/>
  <c r="AT38" i="7" s="1"/>
  <c r="AP37" i="7"/>
  <c r="AP36" i="7"/>
  <c r="AP35" i="7"/>
  <c r="AP34" i="7"/>
  <c r="AQ34" i="7" s="1"/>
  <c r="AP33" i="7"/>
  <c r="AP32" i="7"/>
  <c r="AP31" i="7"/>
  <c r="AP30" i="7"/>
  <c r="AR30" i="7" s="1"/>
  <c r="AS30" i="7" s="1"/>
  <c r="AT30" i="7" s="1"/>
  <c r="AP29" i="7"/>
  <c r="AP28" i="7"/>
  <c r="AP27" i="7"/>
  <c r="AP26" i="7"/>
  <c r="AQ26" i="7" s="1"/>
  <c r="AP25" i="7"/>
  <c r="AP24" i="7"/>
  <c r="AP23" i="7"/>
  <c r="AP22" i="7"/>
  <c r="AR22" i="7" s="1"/>
  <c r="AS22" i="7" s="1"/>
  <c r="AT22" i="7" s="1"/>
  <c r="AP21" i="7"/>
  <c r="AP20" i="7"/>
  <c r="AP19" i="7"/>
  <c r="AP18" i="7"/>
  <c r="AR18" i="7" s="1"/>
  <c r="AS18" i="7" s="1"/>
  <c r="AT18" i="7" s="1"/>
  <c r="AP17" i="7"/>
  <c r="AP16" i="7"/>
  <c r="AP15" i="7"/>
  <c r="AP14" i="7"/>
  <c r="AR14" i="7" s="1"/>
  <c r="AS14" i="7" s="1"/>
  <c r="AT14" i="7" s="1"/>
  <c r="AP13" i="7"/>
  <c r="AP12" i="7"/>
  <c r="AK12" i="7"/>
  <c r="AL12" i="7" s="1"/>
  <c r="AO127" i="7"/>
  <c r="AC128" i="7"/>
  <c r="AD128" i="7"/>
  <c r="AN127" i="7"/>
  <c r="AS204" i="7"/>
  <c r="AT204" i="7" s="1"/>
  <c r="AQ204" i="7"/>
  <c r="AS203" i="7"/>
  <c r="AT203" i="7" s="1"/>
  <c r="AQ203" i="7"/>
  <c r="AS202" i="7"/>
  <c r="AQ202" i="7"/>
  <c r="AQ201" i="7"/>
  <c r="AS200" i="7"/>
  <c r="AT200" i="7" s="1"/>
  <c r="AQ200" i="7"/>
  <c r="AS199" i="7"/>
  <c r="AT199" i="7" s="1"/>
  <c r="AQ199" i="7"/>
  <c r="AQ198" i="7"/>
  <c r="AS198" i="7"/>
  <c r="AS196" i="7"/>
  <c r="AT196" i="7" s="1"/>
  <c r="AQ196" i="7"/>
  <c r="AQ195" i="7"/>
  <c r="AS179" i="7"/>
  <c r="AT179" i="7" s="1"/>
  <c r="AQ179" i="7"/>
  <c r="AQ178" i="7"/>
  <c r="AS178" i="7"/>
  <c r="AT178" i="7" s="1"/>
  <c r="AS177" i="7"/>
  <c r="AQ177" i="7"/>
  <c r="AQ176" i="7"/>
  <c r="AS175" i="7"/>
  <c r="AT175" i="7" s="1"/>
  <c r="AQ175" i="7"/>
  <c r="AS174" i="7"/>
  <c r="AT174" i="7" s="1"/>
  <c r="AQ174" i="7"/>
  <c r="AQ173" i="7"/>
  <c r="AS168" i="7"/>
  <c r="AT168" i="7" s="1"/>
  <c r="AQ168" i="7"/>
  <c r="AQ164" i="7"/>
  <c r="AR160" i="7"/>
  <c r="AS160" i="7" s="1"/>
  <c r="AQ160" i="7"/>
  <c r="AR159" i="7"/>
  <c r="AS159" i="7" s="1"/>
  <c r="AQ159" i="7"/>
  <c r="AS158" i="7"/>
  <c r="AQ158" i="7"/>
  <c r="AR158" i="7"/>
  <c r="AQ157" i="7"/>
  <c r="AR156" i="7"/>
  <c r="AS156" i="7" s="1"/>
  <c r="AQ156" i="7"/>
  <c r="AR155" i="7"/>
  <c r="AS155" i="7" s="1"/>
  <c r="AQ155" i="7"/>
  <c r="AQ154" i="7"/>
  <c r="AR154" i="7"/>
  <c r="AS154" i="7" s="1"/>
  <c r="AR152" i="7"/>
  <c r="AS152" i="7" s="1"/>
  <c r="AQ152" i="7"/>
  <c r="AR151" i="7"/>
  <c r="AS151" i="7" s="1"/>
  <c r="AQ151" i="7"/>
  <c r="AS150" i="7"/>
  <c r="AQ150" i="7"/>
  <c r="AR150" i="7"/>
  <c r="AR148" i="7"/>
  <c r="AS148" i="7" s="1"/>
  <c r="AQ148" i="7"/>
  <c r="AR147" i="7"/>
  <c r="AS147" i="7" s="1"/>
  <c r="AQ147" i="7"/>
  <c r="AQ146" i="7"/>
  <c r="AR146" i="7"/>
  <c r="AS146" i="7" s="1"/>
  <c r="AR144" i="7"/>
  <c r="AQ144" i="7"/>
  <c r="AR140" i="7"/>
  <c r="AS140" i="7" s="1"/>
  <c r="AT140" i="7" s="1"/>
  <c r="AQ140" i="7"/>
  <c r="AR139" i="7"/>
  <c r="AS139" i="7" s="1"/>
  <c r="AT139" i="7" s="1"/>
  <c r="AQ139" i="7"/>
  <c r="AS138" i="7"/>
  <c r="AT138" i="7" s="1"/>
  <c r="AQ138" i="7"/>
  <c r="AR138" i="7"/>
  <c r="AR137" i="7"/>
  <c r="AS137" i="7" s="1"/>
  <c r="AT137" i="7" s="1"/>
  <c r="AR136" i="7"/>
  <c r="AS136" i="7" s="1"/>
  <c r="AT136" i="7" s="1"/>
  <c r="AQ136" i="7"/>
  <c r="AS135" i="7"/>
  <c r="AT135" i="7" s="1"/>
  <c r="AR135" i="7"/>
  <c r="AQ135" i="7"/>
  <c r="AQ134" i="7"/>
  <c r="AR134" i="7"/>
  <c r="AS134" i="7" s="1"/>
  <c r="AT134" i="7" s="1"/>
  <c r="AR132" i="7"/>
  <c r="AS132" i="7" s="1"/>
  <c r="AT132" i="7" s="1"/>
  <c r="AQ132" i="7"/>
  <c r="AR131" i="7"/>
  <c r="AS131" i="7" s="1"/>
  <c r="AT131" i="7" s="1"/>
  <c r="AQ131" i="7"/>
  <c r="AS130" i="7"/>
  <c r="AT130" i="7" s="1"/>
  <c r="AR130" i="7"/>
  <c r="AQ130" i="7"/>
  <c r="AQ129" i="7"/>
  <c r="AR128" i="7"/>
  <c r="AS128" i="7" s="1"/>
  <c r="AT128" i="7" s="1"/>
  <c r="AQ128" i="7"/>
  <c r="AR127" i="7"/>
  <c r="AS127" i="7" s="1"/>
  <c r="AT127" i="7" s="1"/>
  <c r="AQ127" i="7"/>
  <c r="AR125" i="7"/>
  <c r="AS125" i="7" s="1"/>
  <c r="AT125" i="7" s="1"/>
  <c r="AQ125" i="7"/>
  <c r="AS124" i="7"/>
  <c r="AT124" i="7" s="1"/>
  <c r="AQ124" i="7"/>
  <c r="AR124" i="7"/>
  <c r="AR123" i="7"/>
  <c r="AS123" i="7" s="1"/>
  <c r="AT123" i="7" s="1"/>
  <c r="AQ123" i="7"/>
  <c r="AR121" i="7"/>
  <c r="AS121" i="7" s="1"/>
  <c r="AT121" i="7" s="1"/>
  <c r="AQ121" i="7"/>
  <c r="AQ120" i="7"/>
  <c r="AR120" i="7"/>
  <c r="AS120" i="7" s="1"/>
  <c r="AT120" i="7" s="1"/>
  <c r="AR119" i="7"/>
  <c r="AS119" i="7" s="1"/>
  <c r="AT119" i="7" s="1"/>
  <c r="AQ119" i="7"/>
  <c r="AQ118" i="7"/>
  <c r="AR117" i="7"/>
  <c r="AS117" i="7" s="1"/>
  <c r="AT117" i="7" s="1"/>
  <c r="AQ117" i="7"/>
  <c r="AS116" i="7"/>
  <c r="AT116" i="7" s="1"/>
  <c r="AQ116" i="7"/>
  <c r="AR116" i="7"/>
  <c r="AQ114" i="7"/>
  <c r="AQ113" i="7"/>
  <c r="AQ112" i="7"/>
  <c r="AR112" i="7"/>
  <c r="AS112" i="7" s="1"/>
  <c r="AT112" i="7" s="1"/>
  <c r="AQ109" i="7"/>
  <c r="AR108" i="7"/>
  <c r="AS108" i="7" s="1"/>
  <c r="AT108" i="7" s="1"/>
  <c r="AQ108" i="7"/>
  <c r="AQ107" i="7"/>
  <c r="AR106" i="7"/>
  <c r="AS106" i="7" s="1"/>
  <c r="AT106" i="7" s="1"/>
  <c r="AR105" i="7"/>
  <c r="AS105" i="7" s="1"/>
  <c r="AT105" i="7" s="1"/>
  <c r="AQ105" i="7"/>
  <c r="AR104" i="7"/>
  <c r="AS104" i="7" s="1"/>
  <c r="AT104" i="7" s="1"/>
  <c r="AQ104" i="7"/>
  <c r="AQ103" i="7"/>
  <c r="AR101" i="7"/>
  <c r="AS101" i="7" s="1"/>
  <c r="AT101" i="7" s="1"/>
  <c r="AQ101" i="7"/>
  <c r="AR100" i="7"/>
  <c r="AS100" i="7" s="1"/>
  <c r="AT100" i="7" s="1"/>
  <c r="AQ100" i="7"/>
  <c r="AQ99" i="7"/>
  <c r="AR97" i="7"/>
  <c r="AS97" i="7" s="1"/>
  <c r="AT97" i="7" s="1"/>
  <c r="AQ97" i="7"/>
  <c r="AR96" i="7"/>
  <c r="AS96" i="7" s="1"/>
  <c r="AT96" i="7" s="1"/>
  <c r="AQ96" i="7"/>
  <c r="AQ95" i="7"/>
  <c r="AR93" i="7"/>
  <c r="AS93" i="7" s="1"/>
  <c r="AT93" i="7" s="1"/>
  <c r="AQ93" i="7"/>
  <c r="AR92" i="7"/>
  <c r="AS92" i="7" s="1"/>
  <c r="AT92" i="7" s="1"/>
  <c r="AQ92" i="7"/>
  <c r="AQ91" i="7"/>
  <c r="AR90" i="7"/>
  <c r="AS90" i="7" s="1"/>
  <c r="AT90" i="7" s="1"/>
  <c r="AR89" i="7"/>
  <c r="AS89" i="7" s="1"/>
  <c r="AT89" i="7" s="1"/>
  <c r="AQ89" i="7"/>
  <c r="AR88" i="7"/>
  <c r="AS88" i="7" s="1"/>
  <c r="AT88" i="7" s="1"/>
  <c r="AQ88" i="7"/>
  <c r="AQ87" i="7"/>
  <c r="AR85" i="7"/>
  <c r="AS85" i="7" s="1"/>
  <c r="AT85" i="7" s="1"/>
  <c r="AR83" i="7"/>
  <c r="AS83" i="7" s="1"/>
  <c r="AT83" i="7" s="1"/>
  <c r="AQ83" i="7"/>
  <c r="AQ82" i="7"/>
  <c r="AR81" i="7"/>
  <c r="AS81" i="7" s="1"/>
  <c r="AT81" i="7" s="1"/>
  <c r="AR79" i="7"/>
  <c r="AS79" i="7" s="1"/>
  <c r="AT79" i="7" s="1"/>
  <c r="AQ79" i="7"/>
  <c r="AR78" i="7"/>
  <c r="AS78" i="7" s="1"/>
  <c r="AT78" i="7" s="1"/>
  <c r="AS77" i="7"/>
  <c r="AT77" i="7" s="1"/>
  <c r="AR77" i="7"/>
  <c r="AR75" i="7"/>
  <c r="AS75" i="7" s="1"/>
  <c r="AT75" i="7" s="1"/>
  <c r="AQ75" i="7"/>
  <c r="AS73" i="7"/>
  <c r="AT73" i="7" s="1"/>
  <c r="AR73" i="7"/>
  <c r="AR71" i="7"/>
  <c r="AS71" i="7" s="1"/>
  <c r="AT71" i="7" s="1"/>
  <c r="AQ71" i="7"/>
  <c r="AR70" i="7"/>
  <c r="AS70" i="7" s="1"/>
  <c r="AT70" i="7" s="1"/>
  <c r="AR69" i="7"/>
  <c r="AS69" i="7" s="1"/>
  <c r="AT69" i="7" s="1"/>
  <c r="AQ68" i="7"/>
  <c r="AR68" i="7"/>
  <c r="AS68" i="7" s="1"/>
  <c r="AT68" i="7" s="1"/>
  <c r="AR67" i="7"/>
  <c r="AS67" i="7" s="1"/>
  <c r="AT67" i="7" s="1"/>
  <c r="AQ67" i="7"/>
  <c r="AQ66" i="7"/>
  <c r="AQ64" i="7"/>
  <c r="AR64" i="7"/>
  <c r="AS64" i="7" s="1"/>
  <c r="AT64" i="7" s="1"/>
  <c r="AR63" i="7"/>
  <c r="AS63" i="7" s="1"/>
  <c r="AT63" i="7" s="1"/>
  <c r="AQ63" i="7"/>
  <c r="AQ60" i="7"/>
  <c r="AR60" i="7"/>
  <c r="AS60" i="7" s="1"/>
  <c r="AT60" i="7" s="1"/>
  <c r="AR59" i="7"/>
  <c r="AS59" i="7" s="1"/>
  <c r="AT59" i="7" s="1"/>
  <c r="AQ59" i="7"/>
  <c r="AQ58" i="7"/>
  <c r="AQ56" i="7"/>
  <c r="AR56" i="7"/>
  <c r="AS56" i="7" s="1"/>
  <c r="AT56" i="7" s="1"/>
  <c r="AR55" i="7"/>
  <c r="AS55" i="7" s="1"/>
  <c r="AT55" i="7" s="1"/>
  <c r="AQ55" i="7"/>
  <c r="AQ52" i="7"/>
  <c r="AR52" i="7"/>
  <c r="AS52" i="7" s="1"/>
  <c r="AT52" i="7" s="1"/>
  <c r="AR51" i="7"/>
  <c r="AS51" i="7" s="1"/>
  <c r="AT51" i="7" s="1"/>
  <c r="AQ51" i="7"/>
  <c r="AQ50" i="7"/>
  <c r="AQ48" i="7"/>
  <c r="AR48" i="7"/>
  <c r="AS48" i="7" s="1"/>
  <c r="AT48" i="7" s="1"/>
  <c r="AR47" i="7"/>
  <c r="AS47" i="7" s="1"/>
  <c r="AT47" i="7" s="1"/>
  <c r="AQ47" i="7"/>
  <c r="AQ44" i="7"/>
  <c r="AR44" i="7"/>
  <c r="AS44" i="7" s="1"/>
  <c r="AT44" i="7" s="1"/>
  <c r="AR43" i="7"/>
  <c r="AS43" i="7" s="1"/>
  <c r="AT43" i="7" s="1"/>
  <c r="AQ43" i="7"/>
  <c r="AQ42" i="7"/>
  <c r="AQ40" i="7"/>
  <c r="AR40" i="7"/>
  <c r="AS40" i="7" s="1"/>
  <c r="AT40" i="7" s="1"/>
  <c r="AR39" i="7"/>
  <c r="AS39" i="7" s="1"/>
  <c r="AT39" i="7" s="1"/>
  <c r="AQ39" i="7"/>
  <c r="AR36" i="7"/>
  <c r="AS36" i="7" s="1"/>
  <c r="AT36" i="7" s="1"/>
  <c r="AR35" i="7"/>
  <c r="AS35" i="7" s="1"/>
  <c r="AT35" i="7" s="1"/>
  <c r="AQ35" i="7"/>
  <c r="AR32" i="7"/>
  <c r="AS32" i="7" s="1"/>
  <c r="AT32" i="7" s="1"/>
  <c r="AR31" i="7"/>
  <c r="AS31" i="7" s="1"/>
  <c r="AT31" i="7" s="1"/>
  <c r="AQ31" i="7"/>
  <c r="AQ30" i="7"/>
  <c r="AR28" i="7"/>
  <c r="AS28" i="7" s="1"/>
  <c r="AT28" i="7" s="1"/>
  <c r="AR27" i="7"/>
  <c r="AS27" i="7" s="1"/>
  <c r="AT27" i="7" s="1"/>
  <c r="AQ27" i="7"/>
  <c r="AR26" i="7"/>
  <c r="AS26" i="7" s="1"/>
  <c r="AT26" i="7" s="1"/>
  <c r="AR24" i="7"/>
  <c r="AS24" i="7" s="1"/>
  <c r="AT24" i="7" s="1"/>
  <c r="AR23" i="7"/>
  <c r="AS23" i="7" s="1"/>
  <c r="AT23" i="7" s="1"/>
  <c r="AQ23" i="7"/>
  <c r="AR20" i="7"/>
  <c r="AS20" i="7" s="1"/>
  <c r="AT20" i="7" s="1"/>
  <c r="AR19" i="7"/>
  <c r="AS19" i="7" s="1"/>
  <c r="AT19" i="7" s="1"/>
  <c r="AQ19" i="7"/>
  <c r="AR16" i="7"/>
  <c r="AS16" i="7" s="1"/>
  <c r="AT16" i="7" s="1"/>
  <c r="AR15" i="7"/>
  <c r="AS15" i="7" s="1"/>
  <c r="AT15" i="7" s="1"/>
  <c r="AQ15" i="7"/>
  <c r="AQ14" i="7"/>
  <c r="AW52" i="5"/>
  <c r="AU52" i="5"/>
  <c r="AV52" i="5" s="1"/>
  <c r="AW50" i="5"/>
  <c r="AW49" i="5"/>
  <c r="AW47" i="5"/>
  <c r="AW46" i="5"/>
  <c r="AW45" i="5"/>
  <c r="AW44" i="5"/>
  <c r="AW43" i="5"/>
  <c r="AW42" i="5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V27" i="5"/>
  <c r="AU50" i="5"/>
  <c r="AU49" i="5"/>
  <c r="AU47" i="5"/>
  <c r="AU46" i="5"/>
  <c r="AV46" i="5" s="1"/>
  <c r="AU45" i="5"/>
  <c r="AU44" i="5"/>
  <c r="AV44" i="5" s="1"/>
  <c r="AU43" i="5"/>
  <c r="AU42" i="5"/>
  <c r="AU40" i="5"/>
  <c r="AU39" i="5"/>
  <c r="AU38" i="5"/>
  <c r="AU37" i="5"/>
  <c r="AV37" i="5" s="1"/>
  <c r="AU36" i="5"/>
  <c r="AU35" i="5"/>
  <c r="AU34" i="5"/>
  <c r="AU33" i="5"/>
  <c r="AV33" i="5" s="1"/>
  <c r="AU32" i="5"/>
  <c r="AU31" i="5"/>
  <c r="AU30" i="5"/>
  <c r="AU29" i="5"/>
  <c r="AV29" i="5" s="1"/>
  <c r="AU28" i="5"/>
  <c r="AU27" i="5"/>
  <c r="BK40" i="5"/>
  <c r="BJ40" i="5"/>
  <c r="BK39" i="5"/>
  <c r="BJ39" i="5"/>
  <c r="BI39" i="5"/>
  <c r="BK38" i="5"/>
  <c r="BJ38" i="5"/>
  <c r="BI38" i="5"/>
  <c r="BK37" i="5"/>
  <c r="BJ37" i="5"/>
  <c r="BI37" i="5"/>
  <c r="BK36" i="5"/>
  <c r="BJ36" i="5"/>
  <c r="BI36" i="5"/>
  <c r="BK35" i="5"/>
  <c r="BJ35" i="5"/>
  <c r="BI35" i="5"/>
  <c r="BH35" i="5"/>
  <c r="BG35" i="5"/>
  <c r="BF35" i="5"/>
  <c r="BK34" i="5"/>
  <c r="BJ34" i="5"/>
  <c r="BI34" i="5"/>
  <c r="BH34" i="5"/>
  <c r="BG34" i="5"/>
  <c r="BF34" i="5"/>
  <c r="BK33" i="5"/>
  <c r="BJ33" i="5"/>
  <c r="BI33" i="5"/>
  <c r="BH33" i="5"/>
  <c r="BG33" i="5"/>
  <c r="BF33" i="5"/>
  <c r="BE33" i="5"/>
  <c r="BK32" i="5"/>
  <c r="BJ32" i="5"/>
  <c r="BI32" i="5"/>
  <c r="BH32" i="5"/>
  <c r="BG32" i="5"/>
  <c r="BF32" i="5"/>
  <c r="BE32" i="5"/>
  <c r="BK31" i="5"/>
  <c r="BJ31" i="5"/>
  <c r="BI31" i="5"/>
  <c r="BH31" i="5"/>
  <c r="BG31" i="5"/>
  <c r="BF31" i="5"/>
  <c r="BE31" i="5"/>
  <c r="BK30" i="5"/>
  <c r="BJ30" i="5"/>
  <c r="BI30" i="5"/>
  <c r="BH30" i="5"/>
  <c r="BG30" i="5"/>
  <c r="BF30" i="5"/>
  <c r="BE30" i="5"/>
  <c r="BD30" i="5"/>
  <c r="BC30" i="5"/>
  <c r="BK29" i="5"/>
  <c r="BJ29" i="5"/>
  <c r="BI29" i="5"/>
  <c r="BH29" i="5"/>
  <c r="BG29" i="5"/>
  <c r="BF29" i="5"/>
  <c r="BE29" i="5"/>
  <c r="BD29" i="5"/>
  <c r="BC29" i="5"/>
  <c r="BB29" i="5"/>
  <c r="BK28" i="5"/>
  <c r="BJ28" i="5"/>
  <c r="BI28" i="5"/>
  <c r="BH28" i="5"/>
  <c r="BG28" i="5"/>
  <c r="BF28" i="5"/>
  <c r="BE28" i="5"/>
  <c r="BD28" i="5"/>
  <c r="BC28" i="5"/>
  <c r="BB28" i="5"/>
  <c r="BA28" i="5"/>
  <c r="BK27" i="5"/>
  <c r="BJ27" i="5"/>
  <c r="BI27" i="5"/>
  <c r="BH27" i="5"/>
  <c r="BG27" i="5"/>
  <c r="BF27" i="5"/>
  <c r="BE27" i="5"/>
  <c r="BD27" i="5"/>
  <c r="BC27" i="5"/>
  <c r="BB27" i="5"/>
  <c r="BA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S52" i="5"/>
  <c r="AV50" i="5"/>
  <c r="AS50" i="5"/>
  <c r="AV49" i="5"/>
  <c r="AS49" i="5"/>
  <c r="AV47" i="5"/>
  <c r="AS47" i="5"/>
  <c r="AS46" i="5"/>
  <c r="AV45" i="5"/>
  <c r="AS45" i="5"/>
  <c r="AS44" i="5"/>
  <c r="AV43" i="5"/>
  <c r="AS43" i="5"/>
  <c r="AV42" i="5"/>
  <c r="AS42" i="5"/>
  <c r="AV40" i="5"/>
  <c r="AS40" i="5"/>
  <c r="AV39" i="5"/>
  <c r="AS39" i="5"/>
  <c r="AV38" i="5"/>
  <c r="AS38" i="5"/>
  <c r="AS37" i="5"/>
  <c r="AV36" i="5"/>
  <c r="AS36" i="5"/>
  <c r="AV35" i="5"/>
  <c r="AS35" i="5"/>
  <c r="AV34" i="5"/>
  <c r="AS34" i="5"/>
  <c r="AS33" i="5"/>
  <c r="AV32" i="5"/>
  <c r="AS32" i="5"/>
  <c r="AV31" i="5"/>
  <c r="AS31" i="5"/>
  <c r="AV30" i="5"/>
  <c r="AS30" i="5"/>
  <c r="AS29" i="5"/>
  <c r="AV28" i="5"/>
  <c r="AS28" i="5"/>
  <c r="AS27" i="5"/>
  <c r="AU26" i="5"/>
  <c r="AV26" i="5" s="1"/>
  <c r="AS26" i="5"/>
  <c r="AU25" i="5"/>
  <c r="AV25" i="5" s="1"/>
  <c r="AS25" i="5"/>
  <c r="AU24" i="5"/>
  <c r="AV24" i="5" s="1"/>
  <c r="AS24" i="5"/>
  <c r="AU23" i="5"/>
  <c r="AV23" i="5" s="1"/>
  <c r="AS23" i="5"/>
  <c r="AU22" i="5"/>
  <c r="AV22" i="5" s="1"/>
  <c r="AS22" i="5"/>
  <c r="AU21" i="5"/>
  <c r="AV21" i="5" s="1"/>
  <c r="AS21" i="5"/>
  <c r="AU20" i="5"/>
  <c r="AV20" i="5" s="1"/>
  <c r="AS20" i="5"/>
  <c r="AU19" i="5"/>
  <c r="AV19" i="5" s="1"/>
  <c r="AS19" i="5"/>
  <c r="AU18" i="5"/>
  <c r="AV18" i="5" s="1"/>
  <c r="AS18" i="5"/>
  <c r="AU17" i="5"/>
  <c r="AV17" i="5" s="1"/>
  <c r="AS17" i="5"/>
  <c r="AU16" i="5"/>
  <c r="AV16" i="5" s="1"/>
  <c r="AS16" i="5"/>
  <c r="AU15" i="5"/>
  <c r="AV15" i="5" s="1"/>
  <c r="AS15" i="5"/>
  <c r="AU14" i="5"/>
  <c r="AV14" i="5" s="1"/>
  <c r="AS14" i="5"/>
  <c r="AU13" i="5"/>
  <c r="AV13" i="5" s="1"/>
  <c r="AS13" i="5"/>
  <c r="AU12" i="5"/>
  <c r="AV12" i="5" s="1"/>
  <c r="AS12" i="5"/>
  <c r="AX56" i="4"/>
  <c r="AW44" i="4"/>
  <c r="AX45" i="4"/>
  <c r="AX44" i="4"/>
  <c r="AX40" i="4"/>
  <c r="AX39" i="4"/>
  <c r="AX38" i="4"/>
  <c r="AX37" i="4"/>
  <c r="AX32" i="4"/>
  <c r="AX31" i="4"/>
  <c r="AX30" i="4"/>
  <c r="AX27" i="4"/>
  <c r="AX26" i="4"/>
  <c r="AW26" i="4"/>
  <c r="AX25" i="4"/>
  <c r="AX24" i="4"/>
  <c r="AX23" i="4"/>
  <c r="AX22" i="4"/>
  <c r="AX21" i="4"/>
  <c r="AX20" i="4"/>
  <c r="AX18" i="4"/>
  <c r="AX17" i="4"/>
  <c r="AX16" i="4"/>
  <c r="AX12" i="4"/>
  <c r="AR26" i="4"/>
  <c r="AV45" i="4"/>
  <c r="AW45" i="4" s="1"/>
  <c r="AV44" i="4"/>
  <c r="AV40" i="4"/>
  <c r="AV39" i="4"/>
  <c r="AV38" i="4"/>
  <c r="AW38" i="4" s="1"/>
  <c r="AV37" i="4"/>
  <c r="AV42" i="4" s="1"/>
  <c r="AV32" i="4"/>
  <c r="AV31" i="4"/>
  <c r="AV30" i="4"/>
  <c r="AV27" i="4"/>
  <c r="AW27" i="4" s="1"/>
  <c r="AV26" i="4"/>
  <c r="BJ29" i="4"/>
  <c r="BI29" i="4"/>
  <c r="BH29" i="4"/>
  <c r="BG29" i="4"/>
  <c r="BF29" i="4"/>
  <c r="BE29" i="4"/>
  <c r="BD29" i="4"/>
  <c r="BC29" i="4"/>
  <c r="BB29" i="4"/>
  <c r="BA29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BL27" i="4"/>
  <c r="BK27" i="4"/>
  <c r="BJ27" i="4"/>
  <c r="BI27" i="4"/>
  <c r="BL26" i="4"/>
  <c r="BK26" i="4"/>
  <c r="BJ26" i="4"/>
  <c r="BI26" i="4"/>
  <c r="BH26" i="4"/>
  <c r="BG26" i="4"/>
  <c r="BF26" i="4"/>
  <c r="BE26" i="4"/>
  <c r="BD26" i="4"/>
  <c r="BC26" i="4"/>
  <c r="BB26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V60" i="4"/>
  <c r="AV56" i="4"/>
  <c r="AV62" i="4" s="1"/>
  <c r="AT45" i="4"/>
  <c r="AT44" i="4"/>
  <c r="AW40" i="4"/>
  <c r="AT40" i="4"/>
  <c r="AW39" i="4"/>
  <c r="AT39" i="4"/>
  <c r="AT38" i="4"/>
  <c r="AT37" i="4"/>
  <c r="AW32" i="4"/>
  <c r="AT32" i="4"/>
  <c r="AW31" i="4"/>
  <c r="AT31" i="4"/>
  <c r="AW30" i="4"/>
  <c r="AT30" i="4"/>
  <c r="AV29" i="4"/>
  <c r="AV74" i="4" s="1"/>
  <c r="AT27" i="4"/>
  <c r="AT26" i="4"/>
  <c r="AV25" i="4"/>
  <c r="AW25" i="4" s="1"/>
  <c r="AT25" i="4"/>
  <c r="AV24" i="4"/>
  <c r="AW24" i="4" s="1"/>
  <c r="AT24" i="4"/>
  <c r="AV23" i="4"/>
  <c r="AW23" i="4" s="1"/>
  <c r="AT23" i="4"/>
  <c r="AV22" i="4"/>
  <c r="AW22" i="4" s="1"/>
  <c r="AT22" i="4"/>
  <c r="AV21" i="4"/>
  <c r="AW21" i="4" s="1"/>
  <c r="AT21" i="4"/>
  <c r="AV20" i="4"/>
  <c r="AW20" i="4" s="1"/>
  <c r="AT20" i="4"/>
  <c r="AV18" i="4"/>
  <c r="AW18" i="4" s="1"/>
  <c r="AT18" i="4"/>
  <c r="AV17" i="4"/>
  <c r="AW17" i="4" s="1"/>
  <c r="AW16" i="4"/>
  <c r="AV16" i="4"/>
  <c r="AV15" i="4"/>
  <c r="AV14" i="4"/>
  <c r="AV13" i="4"/>
  <c r="AV12" i="4"/>
  <c r="AW12" i="4" s="1"/>
  <c r="AS54" i="8" l="1"/>
  <c r="AT54" i="8" s="1"/>
  <c r="AS35" i="8"/>
  <c r="AT35" i="8" s="1"/>
  <c r="AS39" i="8"/>
  <c r="AT39" i="8" s="1"/>
  <c r="AS22" i="8"/>
  <c r="AT22" i="8" s="1"/>
  <c r="AQ24" i="8"/>
  <c r="AR65" i="8"/>
  <c r="AR50" i="8"/>
  <c r="AS46" i="8"/>
  <c r="AT46" i="8" s="1"/>
  <c r="AS31" i="8"/>
  <c r="AT31" i="8" s="1"/>
  <c r="AR44" i="8"/>
  <c r="AR59" i="8"/>
  <c r="AQ42" i="8"/>
  <c r="AQ46" i="8"/>
  <c r="AS52" i="8"/>
  <c r="AT52" i="8" s="1"/>
  <c r="AQ54" i="8"/>
  <c r="AQ62" i="8"/>
  <c r="AQ20" i="8"/>
  <c r="AQ34" i="8"/>
  <c r="AQ38" i="8"/>
  <c r="AQ21" i="8"/>
  <c r="AS25" i="8"/>
  <c r="AT25" i="8" s="1"/>
  <c r="AQ27" i="8"/>
  <c r="AQ31" i="8"/>
  <c r="AQ35" i="8"/>
  <c r="AQ39" i="8"/>
  <c r="AQ47" i="8"/>
  <c r="AQ55" i="8"/>
  <c r="AS61" i="8"/>
  <c r="AT61" i="8" s="1"/>
  <c r="AQ63" i="8"/>
  <c r="AR212" i="7"/>
  <c r="AS208" i="7"/>
  <c r="AQ208" i="7"/>
  <c r="AQ209" i="7"/>
  <c r="AS201" i="7"/>
  <c r="AT201" i="7" s="1"/>
  <c r="AS176" i="7"/>
  <c r="AT176" i="7" s="1"/>
  <c r="AQ188" i="7"/>
  <c r="AQ184" i="7"/>
  <c r="AR149" i="7"/>
  <c r="AS149" i="7" s="1"/>
  <c r="AQ145" i="7"/>
  <c r="AQ153" i="7"/>
  <c r="AQ74" i="7"/>
  <c r="AQ22" i="7"/>
  <c r="AR34" i="7"/>
  <c r="AS34" i="7" s="1"/>
  <c r="AT34" i="7" s="1"/>
  <c r="AQ38" i="7"/>
  <c r="AQ54" i="7"/>
  <c r="AQ110" i="7"/>
  <c r="AQ122" i="7"/>
  <c r="AQ18" i="7"/>
  <c r="AQ46" i="7"/>
  <c r="AQ62" i="7"/>
  <c r="AR12" i="7"/>
  <c r="AQ72" i="7"/>
  <c r="AR72" i="7"/>
  <c r="AS72" i="7" s="1"/>
  <c r="AT72" i="7" s="1"/>
  <c r="AR111" i="7"/>
  <c r="AS111" i="7" s="1"/>
  <c r="AT111" i="7" s="1"/>
  <c r="AQ111" i="7"/>
  <c r="AR13" i="7"/>
  <c r="AS13" i="7" s="1"/>
  <c r="AT13" i="7" s="1"/>
  <c r="AQ13" i="7"/>
  <c r="AR25" i="7"/>
  <c r="AS25" i="7" s="1"/>
  <c r="AT25" i="7" s="1"/>
  <c r="AQ25" i="7"/>
  <c r="AR37" i="7"/>
  <c r="AS37" i="7" s="1"/>
  <c r="AT37" i="7" s="1"/>
  <c r="AQ37" i="7"/>
  <c r="AR41" i="7"/>
  <c r="AS41" i="7" s="1"/>
  <c r="AT41" i="7" s="1"/>
  <c r="AQ41" i="7"/>
  <c r="AR53" i="7"/>
  <c r="AS53" i="7" s="1"/>
  <c r="AT53" i="7" s="1"/>
  <c r="AQ53" i="7"/>
  <c r="AR65" i="7"/>
  <c r="AS65" i="7" s="1"/>
  <c r="AT65" i="7" s="1"/>
  <c r="AQ65" i="7"/>
  <c r="AQ115" i="7"/>
  <c r="AR115" i="7"/>
  <c r="AS115" i="7" s="1"/>
  <c r="AT115" i="7" s="1"/>
  <c r="AQ187" i="7"/>
  <c r="AS187" i="7"/>
  <c r="AT187" i="7" s="1"/>
  <c r="AQ80" i="7"/>
  <c r="AR80" i="7"/>
  <c r="AS80" i="7" s="1"/>
  <c r="AT80" i="7" s="1"/>
  <c r="AR162" i="7"/>
  <c r="AS144" i="7"/>
  <c r="AR17" i="7"/>
  <c r="AS17" i="7" s="1"/>
  <c r="AT17" i="7" s="1"/>
  <c r="AQ17" i="7"/>
  <c r="AR21" i="7"/>
  <c r="AS21" i="7" s="1"/>
  <c r="AT21" i="7" s="1"/>
  <c r="AQ21" i="7"/>
  <c r="AR29" i="7"/>
  <c r="AS29" i="7" s="1"/>
  <c r="AT29" i="7" s="1"/>
  <c r="AQ29" i="7"/>
  <c r="AR33" i="7"/>
  <c r="AS33" i="7" s="1"/>
  <c r="AT33" i="7" s="1"/>
  <c r="AQ33" i="7"/>
  <c r="AR45" i="7"/>
  <c r="AS45" i="7" s="1"/>
  <c r="AT45" i="7" s="1"/>
  <c r="AQ45" i="7"/>
  <c r="AR49" i="7"/>
  <c r="AS49" i="7" s="1"/>
  <c r="AT49" i="7" s="1"/>
  <c r="AQ49" i="7"/>
  <c r="AR57" i="7"/>
  <c r="AS57" i="7" s="1"/>
  <c r="AT57" i="7" s="1"/>
  <c r="AQ57" i="7"/>
  <c r="AR61" i="7"/>
  <c r="AS61" i="7" s="1"/>
  <c r="AT61" i="7" s="1"/>
  <c r="AQ61" i="7"/>
  <c r="AR76" i="7"/>
  <c r="AS76" i="7" s="1"/>
  <c r="AT76" i="7" s="1"/>
  <c r="AQ76" i="7"/>
  <c r="AQ12" i="7"/>
  <c r="AQ16" i="7"/>
  <c r="AQ20" i="7"/>
  <c r="AQ24" i="7"/>
  <c r="AQ28" i="7"/>
  <c r="AQ32" i="7"/>
  <c r="AQ36" i="7"/>
  <c r="AR84" i="7"/>
  <c r="AS84" i="7" s="1"/>
  <c r="AT84" i="7" s="1"/>
  <c r="AQ84" i="7"/>
  <c r="AS185" i="7"/>
  <c r="AT185" i="7" s="1"/>
  <c r="AQ185" i="7"/>
  <c r="AS190" i="7"/>
  <c r="AT190" i="7" s="1"/>
  <c r="AQ190" i="7"/>
  <c r="AS169" i="7"/>
  <c r="AT169" i="7" s="1"/>
  <c r="AQ169" i="7"/>
  <c r="AQ69" i="7"/>
  <c r="AQ73" i="7"/>
  <c r="AQ85" i="7"/>
  <c r="AR181" i="7"/>
  <c r="AS173" i="7"/>
  <c r="AT173" i="7" s="1"/>
  <c r="AQ183" i="7"/>
  <c r="AS186" i="7"/>
  <c r="AT186" i="7" s="1"/>
  <c r="AQ186" i="7"/>
  <c r="AS189" i="7"/>
  <c r="AT189" i="7" s="1"/>
  <c r="AQ189" i="7"/>
  <c r="AQ191" i="7"/>
  <c r="AS191" i="7"/>
  <c r="AT191" i="7" s="1"/>
  <c r="AR206" i="7"/>
  <c r="AS166" i="7"/>
  <c r="AT166" i="7" s="1"/>
  <c r="AQ166" i="7"/>
  <c r="AQ77" i="7"/>
  <c r="AQ81" i="7"/>
  <c r="AQ86" i="7"/>
  <c r="AR87" i="7"/>
  <c r="AS87" i="7" s="1"/>
  <c r="AT87" i="7" s="1"/>
  <c r="AQ90" i="7"/>
  <c r="AR91" i="7"/>
  <c r="AS91" i="7" s="1"/>
  <c r="AT91" i="7" s="1"/>
  <c r="AQ94" i="7"/>
  <c r="AR95" i="7"/>
  <c r="AS95" i="7" s="1"/>
  <c r="AT95" i="7" s="1"/>
  <c r="AQ98" i="7"/>
  <c r="AR99" i="7"/>
  <c r="AS99" i="7" s="1"/>
  <c r="AT99" i="7" s="1"/>
  <c r="AQ102" i="7"/>
  <c r="AR103" i="7"/>
  <c r="AS103" i="7" s="1"/>
  <c r="AT103" i="7" s="1"/>
  <c r="AQ106" i="7"/>
  <c r="AR107" i="7"/>
  <c r="AS107" i="7" s="1"/>
  <c r="AT107" i="7" s="1"/>
  <c r="AR109" i="7"/>
  <c r="AS109" i="7" s="1"/>
  <c r="AT109" i="7" s="1"/>
  <c r="AR113" i="7"/>
  <c r="AS113" i="7" s="1"/>
  <c r="AT113" i="7" s="1"/>
  <c r="AQ165" i="7"/>
  <c r="AQ167" i="7"/>
  <c r="AS167" i="7"/>
  <c r="AT167" i="7" s="1"/>
  <c r="AS195" i="7"/>
  <c r="AT195" i="7" s="1"/>
  <c r="AV55" i="5"/>
  <c r="AW55" i="5"/>
  <c r="AU55" i="5"/>
  <c r="AV47" i="4"/>
  <c r="AW47" i="4"/>
  <c r="AW35" i="4"/>
  <c r="AV35" i="4"/>
  <c r="AV50" i="4" s="1"/>
  <c r="AW37" i="4"/>
  <c r="AW56" i="4"/>
  <c r="U212" i="7"/>
  <c r="N212" i="7"/>
  <c r="R209" i="7"/>
  <c r="Q209" i="7"/>
  <c r="T209" i="7" s="1"/>
  <c r="O209" i="7"/>
  <c r="P209" i="7" s="1"/>
  <c r="R208" i="7"/>
  <c r="Q208" i="7"/>
  <c r="S208" i="7" s="1"/>
  <c r="P208" i="7"/>
  <c r="O208" i="7"/>
  <c r="AT29" i="8" l="1"/>
  <c r="AR29" i="8"/>
  <c r="AR71" i="8" s="1"/>
  <c r="AS29" i="8"/>
  <c r="AT59" i="8"/>
  <c r="AS59" i="8"/>
  <c r="AS50" i="8"/>
  <c r="AT50" i="8"/>
  <c r="AS65" i="8"/>
  <c r="AT65" i="8"/>
  <c r="AS44" i="8"/>
  <c r="AT44" i="8"/>
  <c r="AT208" i="7"/>
  <c r="AT212" i="7" s="1"/>
  <c r="AS212" i="7"/>
  <c r="AR193" i="7"/>
  <c r="AS183" i="7"/>
  <c r="AT183" i="7" s="1"/>
  <c r="AT206" i="7"/>
  <c r="AS206" i="7"/>
  <c r="AS165" i="7"/>
  <c r="AT165" i="7" s="1"/>
  <c r="AR171" i="7"/>
  <c r="AS181" i="7"/>
  <c r="AT181" i="7"/>
  <c r="AT162" i="7"/>
  <c r="AS162" i="7"/>
  <c r="AR142" i="7"/>
  <c r="AX47" i="4"/>
  <c r="AW74" i="4"/>
  <c r="AX74" i="4"/>
  <c r="AV64" i="4"/>
  <c r="AV75" i="4"/>
  <c r="AX62" i="4"/>
  <c r="AW62" i="4"/>
  <c r="AX42" i="4"/>
  <c r="AW42" i="4"/>
  <c r="AW50" i="4" s="1"/>
  <c r="U209" i="7"/>
  <c r="S209" i="7"/>
  <c r="U208" i="7"/>
  <c r="T208" i="7"/>
  <c r="AS71" i="8" l="1"/>
  <c r="AT71" i="8"/>
  <c r="AR214" i="7"/>
  <c r="AT171" i="7"/>
  <c r="AS171" i="7"/>
  <c r="AT193" i="7"/>
  <c r="AS193" i="7"/>
  <c r="AX35" i="4"/>
  <c r="AX50" i="4" s="1"/>
  <c r="AX75" i="4" s="1"/>
  <c r="AW75" i="4"/>
  <c r="AW64" i="4"/>
  <c r="AV209" i="7"/>
  <c r="AC209" i="7"/>
  <c r="AC208" i="7"/>
  <c r="AK204" i="7"/>
  <c r="U204" i="7"/>
  <c r="R204" i="7"/>
  <c r="Q204" i="7"/>
  <c r="T204" i="7" s="1"/>
  <c r="P204" i="7"/>
  <c r="O204" i="7"/>
  <c r="AX64" i="4" l="1"/>
  <c r="AV208" i="7"/>
  <c r="AL204" i="7"/>
  <c r="AM204" i="7"/>
  <c r="AN204" i="7" s="1"/>
  <c r="AO204" i="7" s="1"/>
  <c r="AC204" i="7"/>
  <c r="S204" i="7"/>
  <c r="AK203" i="7"/>
  <c r="N206" i="7"/>
  <c r="R203" i="7"/>
  <c r="Q203" i="7"/>
  <c r="S203" i="7" s="1"/>
  <c r="O203" i="7"/>
  <c r="AV204" i="7" l="1"/>
  <c r="T203" i="7"/>
  <c r="P203" i="7"/>
  <c r="R202" i="7"/>
  <c r="Q202" i="7"/>
  <c r="T202" i="7" s="1"/>
  <c r="O202" i="7"/>
  <c r="P202" i="7" s="1"/>
  <c r="R201" i="7"/>
  <c r="Q201" i="7"/>
  <c r="S201" i="7" s="1"/>
  <c r="O201" i="7"/>
  <c r="AK202" i="7" l="1"/>
  <c r="AM202" i="7" s="1"/>
  <c r="AN202" i="7" s="1"/>
  <c r="AO202" i="7" s="1"/>
  <c r="U202" i="7"/>
  <c r="U203" i="7"/>
  <c r="T201" i="7"/>
  <c r="P201" i="7"/>
  <c r="AK201" i="7" s="1"/>
  <c r="AC202" i="7"/>
  <c r="S202" i="7"/>
  <c r="AJ45" i="4"/>
  <c r="AO45" i="4" s="1"/>
  <c r="U45" i="4"/>
  <c r="T45" i="4"/>
  <c r="V45" i="4" s="1"/>
  <c r="S45" i="4"/>
  <c r="Y45" i="4" s="1"/>
  <c r="R45" i="4"/>
  <c r="O45" i="4"/>
  <c r="L74" i="4"/>
  <c r="AL202" i="7" l="1"/>
  <c r="AM203" i="7"/>
  <c r="AN203" i="7" s="1"/>
  <c r="AO203" i="7" s="1"/>
  <c r="AL203" i="7"/>
  <c r="AC203" i="7"/>
  <c r="AV202" i="7"/>
  <c r="U201" i="7"/>
  <c r="W45" i="4"/>
  <c r="AQ45" i="4"/>
  <c r="AR45" i="4" s="1"/>
  <c r="AS45" i="4" s="1"/>
  <c r="BL29" i="4"/>
  <c r="BK29" i="4"/>
  <c r="AV203" i="7" l="1"/>
  <c r="AM201" i="7"/>
  <c r="AN201" i="7" s="1"/>
  <c r="AO201" i="7" s="1"/>
  <c r="AL201" i="7"/>
  <c r="AC201" i="7"/>
  <c r="AZ45" i="4"/>
  <c r="BE52" i="5"/>
  <c r="BD52" i="5"/>
  <c r="BC52" i="5"/>
  <c r="BB52" i="5"/>
  <c r="BA52" i="5"/>
  <c r="AZ52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BA12" i="5"/>
  <c r="AZ12" i="5"/>
  <c r="AN52" i="5"/>
  <c r="AP52" i="5"/>
  <c r="AQ52" i="5" s="1"/>
  <c r="AR52" i="5" s="1"/>
  <c r="AP50" i="5"/>
  <c r="AP49" i="5"/>
  <c r="AP47" i="5"/>
  <c r="AQ47" i="5" s="1"/>
  <c r="AR47" i="5" s="1"/>
  <c r="AP46" i="5"/>
  <c r="AP45" i="5"/>
  <c r="AP44" i="5"/>
  <c r="AP43" i="5"/>
  <c r="AQ43" i="5" s="1"/>
  <c r="AR43" i="5" s="1"/>
  <c r="AP42" i="5"/>
  <c r="AQ42" i="5" s="1"/>
  <c r="AR42" i="5" s="1"/>
  <c r="AP40" i="5"/>
  <c r="AP39" i="5"/>
  <c r="AP38" i="5"/>
  <c r="AP37" i="5"/>
  <c r="AQ37" i="5" s="1"/>
  <c r="AR37" i="5" s="1"/>
  <c r="AP36" i="5"/>
  <c r="AP35" i="5"/>
  <c r="AP34" i="5"/>
  <c r="AP33" i="5"/>
  <c r="AQ33" i="5" s="1"/>
  <c r="AR33" i="5" s="1"/>
  <c r="AP32" i="5"/>
  <c r="AP31" i="5"/>
  <c r="AP30" i="5"/>
  <c r="AP29" i="5"/>
  <c r="AQ29" i="5" s="1"/>
  <c r="AR29" i="5" s="1"/>
  <c r="AP28" i="5"/>
  <c r="AP27" i="5"/>
  <c r="AP26" i="5"/>
  <c r="AP25" i="5"/>
  <c r="AQ25" i="5" s="1"/>
  <c r="AR25" i="5" s="1"/>
  <c r="AP24" i="5"/>
  <c r="AP23" i="5"/>
  <c r="AP22" i="5"/>
  <c r="AQ22" i="5" s="1"/>
  <c r="AR22" i="5" s="1"/>
  <c r="AP21" i="5"/>
  <c r="AQ21" i="5" s="1"/>
  <c r="AR21" i="5" s="1"/>
  <c r="AP20" i="5"/>
  <c r="AQ20" i="5" s="1"/>
  <c r="AR20" i="5" s="1"/>
  <c r="AR49" i="5"/>
  <c r="AR45" i="5"/>
  <c r="AR39" i="5"/>
  <c r="AR35" i="5"/>
  <c r="AR31" i="5"/>
  <c r="AR27" i="5"/>
  <c r="AR19" i="5"/>
  <c r="AR18" i="5"/>
  <c r="AR17" i="5"/>
  <c r="AR16" i="5"/>
  <c r="AR15" i="5"/>
  <c r="AR14" i="5"/>
  <c r="AR13" i="5"/>
  <c r="AR12" i="5"/>
  <c r="AQ50" i="5"/>
  <c r="AR50" i="5" s="1"/>
  <c r="AN50" i="5"/>
  <c r="AQ49" i="5"/>
  <c r="AN49" i="5"/>
  <c r="AN47" i="5"/>
  <c r="AQ46" i="5"/>
  <c r="AR46" i="5" s="1"/>
  <c r="AN46" i="5"/>
  <c r="AQ45" i="5"/>
  <c r="AN45" i="5"/>
  <c r="AQ44" i="5"/>
  <c r="AR44" i="5" s="1"/>
  <c r="AN44" i="5"/>
  <c r="AN43" i="5"/>
  <c r="AN42" i="5"/>
  <c r="AQ40" i="5"/>
  <c r="AR40" i="5" s="1"/>
  <c r="AN40" i="5"/>
  <c r="AQ39" i="5"/>
  <c r="AN39" i="5"/>
  <c r="AQ38" i="5"/>
  <c r="AR38" i="5" s="1"/>
  <c r="AN38" i="5"/>
  <c r="AN37" i="5"/>
  <c r="AQ36" i="5"/>
  <c r="AR36" i="5" s="1"/>
  <c r="AN36" i="5"/>
  <c r="AQ35" i="5"/>
  <c r="AN35" i="5"/>
  <c r="AQ34" i="5"/>
  <c r="AR34" i="5" s="1"/>
  <c r="AN34" i="5"/>
  <c r="AN33" i="5"/>
  <c r="AQ32" i="5"/>
  <c r="AR32" i="5" s="1"/>
  <c r="AN32" i="5"/>
  <c r="AQ31" i="5"/>
  <c r="AN31" i="5"/>
  <c r="AQ30" i="5"/>
  <c r="AR30" i="5" s="1"/>
  <c r="AN30" i="5"/>
  <c r="AN29" i="5"/>
  <c r="AQ28" i="5"/>
  <c r="AR28" i="5" s="1"/>
  <c r="AN28" i="5"/>
  <c r="AQ27" i="5"/>
  <c r="AN27" i="5"/>
  <c r="AQ26" i="5"/>
  <c r="AR26" i="5" s="1"/>
  <c r="AN26" i="5"/>
  <c r="AN25" i="5"/>
  <c r="AQ24" i="5"/>
  <c r="AR24" i="5" s="1"/>
  <c r="AN24" i="5"/>
  <c r="AQ23" i="5"/>
  <c r="AR23" i="5" s="1"/>
  <c r="AN23" i="5"/>
  <c r="AN22" i="5"/>
  <c r="AN21" i="5"/>
  <c r="AN20" i="5"/>
  <c r="AP19" i="5"/>
  <c r="AQ19" i="5" s="1"/>
  <c r="AN19" i="5"/>
  <c r="AP18" i="5"/>
  <c r="AQ18" i="5" s="1"/>
  <c r="AN18" i="5"/>
  <c r="AP17" i="5"/>
  <c r="AQ17" i="5" s="1"/>
  <c r="AN17" i="5"/>
  <c r="AP16" i="5"/>
  <c r="AQ16" i="5" s="1"/>
  <c r="AN16" i="5"/>
  <c r="AP15" i="5"/>
  <c r="AQ15" i="5" s="1"/>
  <c r="AN15" i="5"/>
  <c r="AP14" i="5"/>
  <c r="AQ14" i="5" s="1"/>
  <c r="AN14" i="5"/>
  <c r="AP13" i="5"/>
  <c r="AN13" i="5"/>
  <c r="AQ12" i="5"/>
  <c r="AP12" i="5"/>
  <c r="AN12" i="5"/>
  <c r="AV201" i="7" l="1"/>
  <c r="AP55" i="5"/>
  <c r="AQ13" i="5"/>
  <c r="AR55" i="5" s="1"/>
  <c r="AQ55" i="5"/>
  <c r="AK200" i="7"/>
  <c r="R200" i="7"/>
  <c r="Q200" i="7"/>
  <c r="T200" i="7" s="1"/>
  <c r="O200" i="7"/>
  <c r="P200" i="7" s="1"/>
  <c r="U200" i="7" l="1"/>
  <c r="S200" i="7"/>
  <c r="O47" i="4"/>
  <c r="L47" i="4"/>
  <c r="AJ44" i="4"/>
  <c r="AO44" i="4" s="1"/>
  <c r="U44" i="4"/>
  <c r="T44" i="4"/>
  <c r="V44" i="4" s="1"/>
  <c r="R44" i="4"/>
  <c r="W44" i="4" s="1"/>
  <c r="O44" i="4"/>
  <c r="AC200" i="7" l="1"/>
  <c r="AL200" i="7"/>
  <c r="AM200" i="7"/>
  <c r="AN200" i="7" s="1"/>
  <c r="AO200" i="7" s="1"/>
  <c r="S44" i="4"/>
  <c r="Y44" i="4" s="1"/>
  <c r="AK199" i="7"/>
  <c r="R199" i="7"/>
  <c r="Q199" i="7"/>
  <c r="S199" i="7" s="1"/>
  <c r="P199" i="7"/>
  <c r="O199" i="7"/>
  <c r="BA47" i="4" l="1"/>
  <c r="BD47" i="4"/>
  <c r="AQ44" i="4"/>
  <c r="AQ47" i="4" s="1"/>
  <c r="BB47" i="4"/>
  <c r="BC47" i="4"/>
  <c r="AV200" i="7"/>
  <c r="BL47" i="4"/>
  <c r="BH47" i="4"/>
  <c r="BK47" i="4"/>
  <c r="BG47" i="4"/>
  <c r="BJ47" i="4"/>
  <c r="BF47" i="4"/>
  <c r="BI47" i="4"/>
  <c r="BE47" i="4"/>
  <c r="AL199" i="7"/>
  <c r="U199" i="7"/>
  <c r="T199" i="7"/>
  <c r="AZ44" i="4" l="1"/>
  <c r="AZ47" i="4" s="1"/>
  <c r="AR44" i="4"/>
  <c r="AC199" i="7"/>
  <c r="AM199" i="7"/>
  <c r="AN199" i="7" s="1"/>
  <c r="AO199" i="7" s="1"/>
  <c r="AS44" i="4" l="1"/>
  <c r="AS47" i="4" s="1"/>
  <c r="AR47" i="4"/>
  <c r="AV199" i="7"/>
  <c r="AL198" i="7" l="1"/>
  <c r="AK198" i="7"/>
  <c r="S198" i="7"/>
  <c r="R198" i="7"/>
  <c r="T198" i="7" s="1"/>
  <c r="Q198" i="7"/>
  <c r="O198" i="7"/>
  <c r="P198" i="7" s="1"/>
  <c r="U198" i="7" l="1"/>
  <c r="AM198" i="7" l="1"/>
  <c r="AN198" i="7" s="1"/>
  <c r="AO198" i="7" s="1"/>
  <c r="AC198" i="7"/>
  <c r="BL18" i="4"/>
  <c r="BK18" i="4"/>
  <c r="BJ18" i="4"/>
  <c r="BI18" i="4"/>
  <c r="BH18" i="4"/>
  <c r="BG18" i="4"/>
  <c r="BF18" i="4"/>
  <c r="BE18" i="4"/>
  <c r="BD18" i="4"/>
  <c r="BC18" i="4"/>
  <c r="BB18" i="4"/>
  <c r="BA18" i="4"/>
  <c r="BH63" i="8"/>
  <c r="BG63" i="8"/>
  <c r="BF63" i="8"/>
  <c r="BE63" i="8"/>
  <c r="BD63" i="8"/>
  <c r="BC63" i="8"/>
  <c r="BB63" i="8"/>
  <c r="BA63" i="8"/>
  <c r="AZ63" i="8"/>
  <c r="AY63" i="8"/>
  <c r="AX63" i="8"/>
  <c r="AW63" i="8"/>
  <c r="BH62" i="8"/>
  <c r="BG62" i="8"/>
  <c r="BF62" i="8"/>
  <c r="BE62" i="8"/>
  <c r="BD62" i="8"/>
  <c r="BC62" i="8"/>
  <c r="BB62" i="8"/>
  <c r="BA62" i="8"/>
  <c r="AZ62" i="8"/>
  <c r="AY62" i="8"/>
  <c r="AX62" i="8"/>
  <c r="AW62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BH21" i="8"/>
  <c r="BG21" i="8"/>
  <c r="BF21" i="8"/>
  <c r="BE21" i="8"/>
  <c r="BD21" i="8"/>
  <c r="BC21" i="8"/>
  <c r="BB21" i="8"/>
  <c r="BA21" i="8"/>
  <c r="AZ21" i="8"/>
  <c r="AY21" i="8"/>
  <c r="AZ20" i="8"/>
  <c r="AY20" i="8"/>
  <c r="AX20" i="8"/>
  <c r="AW20" i="8"/>
  <c r="AZ19" i="8"/>
  <c r="AY19" i="8"/>
  <c r="AX19" i="8"/>
  <c r="AW19" i="8"/>
  <c r="AK63" i="8"/>
  <c r="AL63" i="8" s="1"/>
  <c r="AK62" i="8"/>
  <c r="AM62" i="8" s="1"/>
  <c r="AN62" i="8" s="1"/>
  <c r="AO62" i="8" s="1"/>
  <c r="AK61" i="8"/>
  <c r="AL61" i="8" s="1"/>
  <c r="AK57" i="8"/>
  <c r="AL57" i="8" s="1"/>
  <c r="AK56" i="8"/>
  <c r="AM56" i="8" s="1"/>
  <c r="AN56" i="8" s="1"/>
  <c r="AO56" i="8" s="1"/>
  <c r="AK55" i="8"/>
  <c r="AL55" i="8" s="1"/>
  <c r="AK54" i="8"/>
  <c r="AM54" i="8" s="1"/>
  <c r="AN54" i="8" s="1"/>
  <c r="AO54" i="8" s="1"/>
  <c r="AK53" i="8"/>
  <c r="AL53" i="8" s="1"/>
  <c r="AK52" i="8"/>
  <c r="AL52" i="8" s="1"/>
  <c r="AK48" i="8"/>
  <c r="AL48" i="8" s="1"/>
  <c r="AK47" i="8"/>
  <c r="AM47" i="8" s="1"/>
  <c r="AN47" i="8" s="1"/>
  <c r="AO47" i="8" s="1"/>
  <c r="AK46" i="8"/>
  <c r="AL46" i="8" s="1"/>
  <c r="AL42" i="8"/>
  <c r="AK42" i="8"/>
  <c r="AK41" i="8"/>
  <c r="AM41" i="8" s="1"/>
  <c r="AN41" i="8" s="1"/>
  <c r="AO41" i="8" s="1"/>
  <c r="AL40" i="8"/>
  <c r="AK40" i="8"/>
  <c r="AK39" i="8"/>
  <c r="AM39" i="8" s="1"/>
  <c r="AN39" i="8" s="1"/>
  <c r="AO39" i="8" s="1"/>
  <c r="AL38" i="8"/>
  <c r="AK38" i="8"/>
  <c r="AK37" i="8"/>
  <c r="AL37" i="8" s="1"/>
  <c r="AL36" i="8"/>
  <c r="AK36" i="8"/>
  <c r="AK35" i="8"/>
  <c r="AM35" i="8" s="1"/>
  <c r="AN35" i="8" s="1"/>
  <c r="AO35" i="8" s="1"/>
  <c r="AL34" i="8"/>
  <c r="AK34" i="8"/>
  <c r="AK33" i="8"/>
  <c r="AL33" i="8" s="1"/>
  <c r="AL32" i="8"/>
  <c r="AK32" i="8"/>
  <c r="AK31" i="8"/>
  <c r="AL31" i="8" s="1"/>
  <c r="AK27" i="8"/>
  <c r="AL27" i="8" s="1"/>
  <c r="AK25" i="8"/>
  <c r="AL25" i="8" s="1"/>
  <c r="AK24" i="8"/>
  <c r="AM24" i="8" s="1"/>
  <c r="AN24" i="8" s="1"/>
  <c r="AO24" i="8" s="1"/>
  <c r="AK22" i="8"/>
  <c r="AK21" i="8"/>
  <c r="AK20" i="8"/>
  <c r="AK19" i="8"/>
  <c r="AM61" i="8"/>
  <c r="AN61" i="8" s="1"/>
  <c r="AO61" i="8" s="1"/>
  <c r="AM57" i="8"/>
  <c r="AN57" i="8" s="1"/>
  <c r="AO57" i="8" s="1"/>
  <c r="AM55" i="8"/>
  <c r="AN55" i="8" s="1"/>
  <c r="AO55" i="8" s="1"/>
  <c r="AM52" i="8"/>
  <c r="AN52" i="8" s="1"/>
  <c r="AO52" i="8" s="1"/>
  <c r="AM48" i="8"/>
  <c r="AN48" i="8" s="1"/>
  <c r="AO48" i="8" s="1"/>
  <c r="AM46" i="8"/>
  <c r="AN46" i="8" s="1"/>
  <c r="AO46" i="8" s="1"/>
  <c r="AM42" i="8"/>
  <c r="AN42" i="8" s="1"/>
  <c r="AO42" i="8" s="1"/>
  <c r="AM40" i="8"/>
  <c r="AN40" i="8" s="1"/>
  <c r="AO40" i="8" s="1"/>
  <c r="AM38" i="8"/>
  <c r="AN38" i="8" s="1"/>
  <c r="AO38" i="8" s="1"/>
  <c r="AN36" i="8"/>
  <c r="AO36" i="8" s="1"/>
  <c r="AM36" i="8"/>
  <c r="AM34" i="8"/>
  <c r="AN34" i="8" s="1"/>
  <c r="AO34" i="8" s="1"/>
  <c r="AM33" i="8"/>
  <c r="AN33" i="8" s="1"/>
  <c r="AO33" i="8" s="1"/>
  <c r="AN32" i="8"/>
  <c r="AO32" i="8" s="1"/>
  <c r="AM32" i="8"/>
  <c r="AM22" i="8"/>
  <c r="AN22" i="8" s="1"/>
  <c r="AO22" i="8" s="1"/>
  <c r="AN21" i="8"/>
  <c r="AO21" i="8" s="1"/>
  <c r="AN20" i="8"/>
  <c r="AO20" i="8" s="1"/>
  <c r="AM20" i="8"/>
  <c r="AM19" i="8"/>
  <c r="AN19" i="8" s="1"/>
  <c r="AO19" i="8" s="1"/>
  <c r="AM18" i="8"/>
  <c r="AN18" i="8" s="1"/>
  <c r="AO18" i="8" s="1"/>
  <c r="AM17" i="8"/>
  <c r="AN17" i="8" s="1"/>
  <c r="AO17" i="8" s="1"/>
  <c r="AN16" i="8"/>
  <c r="AO16" i="8" s="1"/>
  <c r="AM16" i="8"/>
  <c r="AM15" i="8"/>
  <c r="AN15" i="8" s="1"/>
  <c r="AO15" i="8" s="1"/>
  <c r="AN14" i="8"/>
  <c r="AO14" i="8" s="1"/>
  <c r="AM14" i="8"/>
  <c r="AM13" i="8"/>
  <c r="AN13" i="8" s="1"/>
  <c r="AO13" i="8" s="1"/>
  <c r="AN12" i="8"/>
  <c r="AM12" i="8"/>
  <c r="AL22" i="8"/>
  <c r="AL21" i="8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K183" i="7"/>
  <c r="AM183" i="7" s="1"/>
  <c r="R197" i="7"/>
  <c r="Q197" i="7"/>
  <c r="O197" i="7"/>
  <c r="P197" i="7" s="1"/>
  <c r="AK197" i="7" s="1"/>
  <c r="R196" i="7"/>
  <c r="Q196" i="7"/>
  <c r="S196" i="7" s="1"/>
  <c r="O196" i="7"/>
  <c r="P196" i="7" s="1"/>
  <c r="AK196" i="7" s="1"/>
  <c r="AL196" i="7" s="1"/>
  <c r="R195" i="7"/>
  <c r="Q195" i="7"/>
  <c r="O195" i="7"/>
  <c r="P195" i="7" s="1"/>
  <c r="AK195" i="7" s="1"/>
  <c r="AL195" i="7" l="1"/>
  <c r="AL197" i="7"/>
  <c r="T197" i="7"/>
  <c r="AL183" i="7"/>
  <c r="AV198" i="7"/>
  <c r="AL62" i="8"/>
  <c r="AM63" i="8"/>
  <c r="AN63" i="8" s="1"/>
  <c r="AO63" i="8" s="1"/>
  <c r="AM53" i="8"/>
  <c r="AN53" i="8" s="1"/>
  <c r="AO53" i="8" s="1"/>
  <c r="AL54" i="8"/>
  <c r="AL56" i="8"/>
  <c r="AL47" i="8"/>
  <c r="AM31" i="8"/>
  <c r="AN31" i="8" s="1"/>
  <c r="AO31" i="8" s="1"/>
  <c r="AL35" i="8"/>
  <c r="AL41" i="8"/>
  <c r="AM37" i="8"/>
  <c r="AN37" i="8" s="1"/>
  <c r="AO37" i="8" s="1"/>
  <c r="AL39" i="8"/>
  <c r="AM27" i="8"/>
  <c r="AN27" i="8" s="1"/>
  <c r="AO27" i="8" s="1"/>
  <c r="AM25" i="8"/>
  <c r="AN25" i="8" s="1"/>
  <c r="AO25" i="8" s="1"/>
  <c r="AL24" i="8"/>
  <c r="AM65" i="8"/>
  <c r="AM29" i="8"/>
  <c r="AM50" i="8"/>
  <c r="AO29" i="8"/>
  <c r="AO59" i="8"/>
  <c r="AN59" i="8"/>
  <c r="AM44" i="8"/>
  <c r="AL19" i="8"/>
  <c r="AM59" i="8"/>
  <c r="AL20" i="8"/>
  <c r="AN29" i="8"/>
  <c r="T195" i="7"/>
  <c r="U197" i="7"/>
  <c r="AM197" i="7" s="1"/>
  <c r="U196" i="7"/>
  <c r="U195" i="7"/>
  <c r="T196" i="7"/>
  <c r="S195" i="7"/>
  <c r="S197" i="7"/>
  <c r="BG195" i="7" l="1"/>
  <c r="BC195" i="7"/>
  <c r="AY195" i="7"/>
  <c r="BF195" i="7"/>
  <c r="BB195" i="7"/>
  <c r="AX195" i="7"/>
  <c r="BE195" i="7"/>
  <c r="BA195" i="7"/>
  <c r="AW195" i="7"/>
  <c r="BH195" i="7"/>
  <c r="BD195" i="7"/>
  <c r="AZ195" i="7"/>
  <c r="BG196" i="7"/>
  <c r="BC196" i="7"/>
  <c r="AY196" i="7"/>
  <c r="BF196" i="7"/>
  <c r="BB196" i="7"/>
  <c r="AX196" i="7"/>
  <c r="BE196" i="7"/>
  <c r="BA196" i="7"/>
  <c r="AW196" i="7"/>
  <c r="BH196" i="7"/>
  <c r="BD196" i="7"/>
  <c r="AZ196" i="7"/>
  <c r="BG197" i="7"/>
  <c r="BC197" i="7"/>
  <c r="AY197" i="7"/>
  <c r="BF197" i="7"/>
  <c r="BB197" i="7"/>
  <c r="AX197" i="7"/>
  <c r="BE197" i="7"/>
  <c r="BA197" i="7"/>
  <c r="AW197" i="7"/>
  <c r="AZ197" i="7"/>
  <c r="BH197" i="7"/>
  <c r="BD197" i="7"/>
  <c r="AM196" i="7"/>
  <c r="AM195" i="7"/>
  <c r="AM206" i="7" s="1"/>
  <c r="AN65" i="8"/>
  <c r="AO65" i="8"/>
  <c r="AN44" i="8"/>
  <c r="AO44" i="8"/>
  <c r="AM71" i="8"/>
  <c r="AN50" i="8"/>
  <c r="AO50" i="8"/>
  <c r="U206" i="7"/>
  <c r="AC196" i="7"/>
  <c r="AC195" i="7"/>
  <c r="AC197" i="7"/>
  <c r="L42" i="4"/>
  <c r="O40" i="4"/>
  <c r="O39" i="4"/>
  <c r="AJ40" i="4"/>
  <c r="AO40" i="4" s="1"/>
  <c r="U40" i="4"/>
  <c r="T40" i="4"/>
  <c r="V40" i="4" s="1"/>
  <c r="R40" i="4"/>
  <c r="S40" i="4" s="1"/>
  <c r="Y40" i="4" s="1"/>
  <c r="AJ39" i="4"/>
  <c r="AO39" i="4" s="1"/>
  <c r="U39" i="4"/>
  <c r="T39" i="4"/>
  <c r="V39" i="4" s="1"/>
  <c r="R39" i="4"/>
  <c r="AJ38" i="4"/>
  <c r="AO38" i="4" s="1"/>
  <c r="U38" i="4"/>
  <c r="T38" i="4"/>
  <c r="W38" i="4" s="1"/>
  <c r="R38" i="4"/>
  <c r="S38" i="4" s="1"/>
  <c r="Y38" i="4" s="1"/>
  <c r="O38" i="4"/>
  <c r="AO71" i="8" l="1"/>
  <c r="BF206" i="7"/>
  <c r="AZ206" i="7"/>
  <c r="BA206" i="7"/>
  <c r="BG206" i="7"/>
  <c r="BD206" i="7"/>
  <c r="BE206" i="7"/>
  <c r="AY206" i="7"/>
  <c r="BH206" i="7"/>
  <c r="AX206" i="7"/>
  <c r="BC206" i="7"/>
  <c r="AW206" i="7"/>
  <c r="BB206" i="7"/>
  <c r="BK38" i="4"/>
  <c r="BG38" i="4"/>
  <c r="BC38" i="4"/>
  <c r="BH38" i="4"/>
  <c r="AQ38" i="4"/>
  <c r="BJ38" i="4"/>
  <c r="BF38" i="4"/>
  <c r="BB38" i="4"/>
  <c r="BI38" i="4"/>
  <c r="BE38" i="4"/>
  <c r="BA38" i="4"/>
  <c r="BL38" i="4"/>
  <c r="BD38" i="4"/>
  <c r="BK40" i="4"/>
  <c r="BG40" i="4"/>
  <c r="BC40" i="4"/>
  <c r="BA40" i="4"/>
  <c r="BD40" i="4"/>
  <c r="BJ40" i="4"/>
  <c r="BF40" i="4"/>
  <c r="BB40" i="4"/>
  <c r="AQ40" i="4"/>
  <c r="BI40" i="4"/>
  <c r="BE40" i="4"/>
  <c r="BL40" i="4"/>
  <c r="BH40" i="4"/>
  <c r="W39" i="4"/>
  <c r="AN71" i="8"/>
  <c r="AN196" i="7"/>
  <c r="AO196" i="7" s="1"/>
  <c r="AN195" i="7"/>
  <c r="AO195" i="7" s="1"/>
  <c r="AN197" i="7"/>
  <c r="AO197" i="7" s="1"/>
  <c r="AV197" i="7"/>
  <c r="AV196" i="7"/>
  <c r="AV195" i="7"/>
  <c r="AL40" i="4"/>
  <c r="AM40" i="4" s="1"/>
  <c r="S39" i="4"/>
  <c r="Y39" i="4" s="1"/>
  <c r="W40" i="4"/>
  <c r="AZ38" i="4"/>
  <c r="AL38" i="4"/>
  <c r="AM38" i="4" s="1"/>
  <c r="V38" i="4"/>
  <c r="AV206" i="7" l="1"/>
  <c r="AN38" i="4"/>
  <c r="AR38" i="4"/>
  <c r="AS38" i="4" s="1"/>
  <c r="AN40" i="4"/>
  <c r="AR40" i="4"/>
  <c r="AS40" i="4" s="1"/>
  <c r="BK39" i="4"/>
  <c r="BG39" i="4"/>
  <c r="BC39" i="4"/>
  <c r="BE39" i="4"/>
  <c r="BH39" i="4"/>
  <c r="BJ39" i="4"/>
  <c r="BF39" i="4"/>
  <c r="BB39" i="4"/>
  <c r="BI39" i="4"/>
  <c r="BA39" i="4"/>
  <c r="AQ39" i="4"/>
  <c r="BL39" i="4"/>
  <c r="BD39" i="4"/>
  <c r="AO206" i="7"/>
  <c r="AN206" i="7"/>
  <c r="AL39" i="4"/>
  <c r="AZ40" i="4"/>
  <c r="AM39" i="4" l="1"/>
  <c r="AZ39" i="4"/>
  <c r="R191" i="7"/>
  <c r="Q191" i="7"/>
  <c r="O191" i="7"/>
  <c r="P191" i="7" s="1"/>
  <c r="R190" i="7"/>
  <c r="Q190" i="7"/>
  <c r="O190" i="7"/>
  <c r="P190" i="7" s="1"/>
  <c r="AF190" i="7" s="1"/>
  <c r="R189" i="7"/>
  <c r="Q189" i="7"/>
  <c r="S189" i="7" s="1"/>
  <c r="O189" i="7"/>
  <c r="R188" i="7"/>
  <c r="Q188" i="7"/>
  <c r="O188" i="7"/>
  <c r="P188" i="7" s="1"/>
  <c r="AF188" i="7" s="1"/>
  <c r="R187" i="7"/>
  <c r="Q187" i="7"/>
  <c r="S187" i="7" s="1"/>
  <c r="O187" i="7"/>
  <c r="P187" i="7" s="1"/>
  <c r="U187" i="7" s="1"/>
  <c r="BG187" i="7" l="1"/>
  <c r="BC187" i="7"/>
  <c r="AY187" i="7"/>
  <c r="BF187" i="7"/>
  <c r="BB187" i="7"/>
  <c r="AX187" i="7"/>
  <c r="BE187" i="7"/>
  <c r="BA187" i="7"/>
  <c r="AW187" i="7"/>
  <c r="BD187" i="7"/>
  <c r="AZ187" i="7"/>
  <c r="BH187" i="7"/>
  <c r="T190" i="7"/>
  <c r="AR39" i="4"/>
  <c r="AN39" i="4"/>
  <c r="AF191" i="7"/>
  <c r="AH191" i="7" s="1"/>
  <c r="AI191" i="7" s="1"/>
  <c r="AJ191" i="7" s="1"/>
  <c r="U191" i="7"/>
  <c r="T191" i="7"/>
  <c r="S190" i="7"/>
  <c r="U190" i="7"/>
  <c r="S191" i="7"/>
  <c r="AF187" i="7"/>
  <c r="T188" i="7"/>
  <c r="T189" i="7"/>
  <c r="U188" i="7"/>
  <c r="T187" i="7"/>
  <c r="S188" i="7"/>
  <c r="P189" i="7"/>
  <c r="AF189" i="7" s="1"/>
  <c r="AF63" i="8"/>
  <c r="AF62" i="8"/>
  <c r="U63" i="8"/>
  <c r="AV63" i="8"/>
  <c r="AH63" i="8"/>
  <c r="AI63" i="8"/>
  <c r="AJ63" i="8"/>
  <c r="AG63" i="8"/>
  <c r="T63" i="8"/>
  <c r="S63" i="8"/>
  <c r="U62" i="8"/>
  <c r="AV62" i="8"/>
  <c r="AH62" i="8"/>
  <c r="AI62" i="8"/>
  <c r="AJ62" i="8"/>
  <c r="AG62" i="8"/>
  <c r="T62" i="8"/>
  <c r="S62" i="8"/>
  <c r="N65" i="8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K42" i="5"/>
  <c r="N42" i="5"/>
  <c r="Q42" i="5"/>
  <c r="R42" i="5" s="1"/>
  <c r="K43" i="5"/>
  <c r="N43" i="5" s="1"/>
  <c r="Q43" i="5"/>
  <c r="R43" i="5"/>
  <c r="K44" i="5"/>
  <c r="N44" i="5"/>
  <c r="X44" i="5" s="1"/>
  <c r="Q44" i="5"/>
  <c r="R44" i="5" s="1"/>
  <c r="K45" i="5"/>
  <c r="N45" i="5" s="1"/>
  <c r="Q45" i="5"/>
  <c r="R45" i="5"/>
  <c r="K46" i="5"/>
  <c r="N46" i="5"/>
  <c r="Q46" i="5"/>
  <c r="R46" i="5" s="1"/>
  <c r="K47" i="5"/>
  <c r="N47" i="5" s="1"/>
  <c r="Q47" i="5"/>
  <c r="R47" i="5"/>
  <c r="Q49" i="5"/>
  <c r="R49" i="5"/>
  <c r="X49" i="5" s="1"/>
  <c r="Q50" i="5"/>
  <c r="R50" i="5"/>
  <c r="X50" i="5" s="1"/>
  <c r="AK50" i="5" s="1"/>
  <c r="AL50" i="5" s="1"/>
  <c r="AM50" i="5" s="1"/>
  <c r="AF12" i="5"/>
  <c r="AG12" i="5"/>
  <c r="AF13" i="5"/>
  <c r="AG13" i="5"/>
  <c r="AF14" i="5"/>
  <c r="AG14" i="5"/>
  <c r="AF15" i="5"/>
  <c r="AG15" i="5"/>
  <c r="AF16" i="5"/>
  <c r="AG16" i="5"/>
  <c r="AF17" i="5"/>
  <c r="AG17" i="5"/>
  <c r="AF18" i="5"/>
  <c r="AG18" i="5"/>
  <c r="AF19" i="5"/>
  <c r="AG19" i="5"/>
  <c r="AF20" i="5"/>
  <c r="AG20" i="5"/>
  <c r="AF21" i="5"/>
  <c r="AG21" i="5"/>
  <c r="AF22" i="5"/>
  <c r="AG22" i="5"/>
  <c r="AF23" i="5"/>
  <c r="AG23" i="5"/>
  <c r="AF24" i="5"/>
  <c r="AG24" i="5"/>
  <c r="AF25" i="5"/>
  <c r="AG25" i="5"/>
  <c r="AF26" i="5"/>
  <c r="AG26" i="5"/>
  <c r="AF27" i="5"/>
  <c r="AG27" i="5"/>
  <c r="AF28" i="5"/>
  <c r="AG28" i="5"/>
  <c r="AF29" i="5"/>
  <c r="AG29" i="5"/>
  <c r="AF30" i="5"/>
  <c r="AG30" i="5"/>
  <c r="AF31" i="5"/>
  <c r="AG31" i="5"/>
  <c r="AF32" i="5"/>
  <c r="AG32" i="5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50" i="5"/>
  <c r="AG50" i="5"/>
  <c r="L12" i="4"/>
  <c r="O12" i="4" s="1"/>
  <c r="AG12" i="4"/>
  <c r="AH12" i="4" s="1"/>
  <c r="AM12" i="4" s="1"/>
  <c r="AL12" i="4"/>
  <c r="L13" i="4"/>
  <c r="L72" i="4" s="1"/>
  <c r="AG13" i="4"/>
  <c r="AH13" i="4"/>
  <c r="AM13" i="4" s="1"/>
  <c r="AL13" i="4"/>
  <c r="L14" i="4"/>
  <c r="L73" i="4" s="1"/>
  <c r="AG14" i="4"/>
  <c r="AH14" i="4" s="1"/>
  <c r="AL14" i="4"/>
  <c r="L15" i="4"/>
  <c r="AG15" i="4"/>
  <c r="AH15" i="4" s="1"/>
  <c r="AL15" i="4"/>
  <c r="L16" i="4"/>
  <c r="O16" i="4" s="1"/>
  <c r="AG16" i="4"/>
  <c r="AH16" i="4" s="1"/>
  <c r="AL16" i="4"/>
  <c r="L17" i="4"/>
  <c r="O17" i="4" s="1"/>
  <c r="AD17" i="4" s="1"/>
  <c r="AQ17" i="4" s="1"/>
  <c r="AG17" i="4"/>
  <c r="AH17" i="4" s="1"/>
  <c r="AL17" i="4"/>
  <c r="L18" i="4"/>
  <c r="O18" i="4" s="1"/>
  <c r="AG18" i="4"/>
  <c r="AH18" i="4" s="1"/>
  <c r="AL18" i="4"/>
  <c r="L20" i="4"/>
  <c r="O20" i="4" s="1"/>
  <c r="R20" i="4"/>
  <c r="S20" i="4" s="1"/>
  <c r="L21" i="4"/>
  <c r="O21" i="4" s="1"/>
  <c r="AD21" i="4" s="1"/>
  <c r="R21" i="4"/>
  <c r="S21" i="4" s="1"/>
  <c r="L22" i="4"/>
  <c r="O22" i="4" s="1"/>
  <c r="R22" i="4"/>
  <c r="S22" i="4" s="1"/>
  <c r="L23" i="4"/>
  <c r="O23" i="4" s="1"/>
  <c r="AD23" i="4" s="1"/>
  <c r="R23" i="4"/>
  <c r="L24" i="4"/>
  <c r="O24" i="4" s="1"/>
  <c r="R24" i="4"/>
  <c r="S24" i="4" s="1"/>
  <c r="L25" i="4"/>
  <c r="O25" i="4" s="1"/>
  <c r="AD25" i="4" s="1"/>
  <c r="R25" i="4"/>
  <c r="S25" i="4" s="1"/>
  <c r="L26" i="4"/>
  <c r="O26" i="4" s="1"/>
  <c r="AD26" i="4" s="1"/>
  <c r="R26" i="4"/>
  <c r="S26" i="4" s="1"/>
  <c r="L27" i="4"/>
  <c r="O27" i="4"/>
  <c r="R27" i="4"/>
  <c r="S27" i="4" s="1"/>
  <c r="Y27" i="4" s="1"/>
  <c r="AQ27" i="4" s="1"/>
  <c r="O29" i="4"/>
  <c r="R29" i="4"/>
  <c r="S29" i="4"/>
  <c r="Y29" i="4" s="1"/>
  <c r="O30" i="4"/>
  <c r="R30" i="4"/>
  <c r="S30" i="4" s="1"/>
  <c r="Y30" i="4" s="1"/>
  <c r="O31" i="4"/>
  <c r="R31" i="4"/>
  <c r="S31" i="4" s="1"/>
  <c r="Y31" i="4" s="1"/>
  <c r="O32" i="4"/>
  <c r="R32" i="4"/>
  <c r="S32" i="4"/>
  <c r="Y32" i="4" s="1"/>
  <c r="O37" i="4"/>
  <c r="O42" i="4" s="1"/>
  <c r="R37" i="4"/>
  <c r="S37" i="4" s="1"/>
  <c r="Y37" i="4" s="1"/>
  <c r="L56" i="4"/>
  <c r="O56" i="4"/>
  <c r="R56" i="4"/>
  <c r="S56" i="4"/>
  <c r="Y56" i="4" s="1"/>
  <c r="L60" i="4"/>
  <c r="L71" i="4" s="1"/>
  <c r="O60" i="4"/>
  <c r="R60" i="4"/>
  <c r="S60" i="4"/>
  <c r="Y60" i="4" s="1"/>
  <c r="K12" i="8"/>
  <c r="N12" i="8"/>
  <c r="O12" i="8"/>
  <c r="P12" i="8"/>
  <c r="U12" i="8"/>
  <c r="AC12" i="8"/>
  <c r="AD12" i="8"/>
  <c r="AH12" i="8"/>
  <c r="AI12" i="8"/>
  <c r="AJ12" i="8"/>
  <c r="K13" i="8"/>
  <c r="N13" i="8"/>
  <c r="O13" i="8"/>
  <c r="P13" i="8"/>
  <c r="U13" i="8"/>
  <c r="AC13" i="8"/>
  <c r="AD13" i="8"/>
  <c r="AH13" i="8"/>
  <c r="AI13" i="8"/>
  <c r="AJ13" i="8"/>
  <c r="K14" i="8"/>
  <c r="N14" i="8"/>
  <c r="O14" i="8"/>
  <c r="P14" i="8"/>
  <c r="U14" i="8"/>
  <c r="AC14" i="8"/>
  <c r="AD14" i="8"/>
  <c r="AH14" i="8"/>
  <c r="AI14" i="8"/>
  <c r="AJ14" i="8"/>
  <c r="K15" i="8"/>
  <c r="N15" i="8"/>
  <c r="O15" i="8"/>
  <c r="P15" i="8"/>
  <c r="U15" i="8"/>
  <c r="AC15" i="8"/>
  <c r="AD15" i="8"/>
  <c r="AH15" i="8"/>
  <c r="AI15" i="8"/>
  <c r="AJ15" i="8"/>
  <c r="K16" i="8"/>
  <c r="N16" i="8"/>
  <c r="O16" i="8"/>
  <c r="P16" i="8"/>
  <c r="U16" i="8"/>
  <c r="AA16" i="8"/>
  <c r="AC16" i="8"/>
  <c r="AD16" i="8"/>
  <c r="AH16" i="8"/>
  <c r="AI16" i="8"/>
  <c r="AJ16" i="8"/>
  <c r="K17" i="8"/>
  <c r="N17" i="8"/>
  <c r="O17" i="8"/>
  <c r="P17" i="8"/>
  <c r="U17" i="8"/>
  <c r="AA17" i="8"/>
  <c r="AC17" i="8"/>
  <c r="AD17" i="8"/>
  <c r="AB17" i="8"/>
  <c r="AF17" i="8"/>
  <c r="AH17" i="8"/>
  <c r="AI17" i="8"/>
  <c r="AJ17" i="8"/>
  <c r="K18" i="8"/>
  <c r="N18" i="8"/>
  <c r="O18" i="8"/>
  <c r="P18" i="8"/>
  <c r="U18" i="8"/>
  <c r="AA18" i="8"/>
  <c r="AC18" i="8"/>
  <c r="AD18" i="8"/>
  <c r="AB18" i="8"/>
  <c r="AF18" i="8"/>
  <c r="AH18" i="8"/>
  <c r="AI18" i="8"/>
  <c r="AJ18" i="8"/>
  <c r="K19" i="8"/>
  <c r="N19" i="8"/>
  <c r="O19" i="8"/>
  <c r="P19" i="8"/>
  <c r="U19" i="8"/>
  <c r="AA19" i="8"/>
  <c r="AC19" i="8"/>
  <c r="AD19" i="8"/>
  <c r="AB19" i="8"/>
  <c r="AF19" i="8"/>
  <c r="AH19" i="8"/>
  <c r="AI19" i="8"/>
  <c r="AJ19" i="8"/>
  <c r="K20" i="8"/>
  <c r="N20" i="8"/>
  <c r="O20" i="8"/>
  <c r="P20" i="8"/>
  <c r="U20" i="8"/>
  <c r="AA20" i="8"/>
  <c r="AC20" i="8"/>
  <c r="AD20" i="8"/>
  <c r="AB20" i="8"/>
  <c r="AF20" i="8"/>
  <c r="AH20" i="8"/>
  <c r="AI20" i="8"/>
  <c r="AJ20" i="8"/>
  <c r="K21" i="8"/>
  <c r="N21" i="8"/>
  <c r="O21" i="8"/>
  <c r="P21" i="8"/>
  <c r="U21" i="8"/>
  <c r="AA21" i="8"/>
  <c r="AC21" i="8"/>
  <c r="AD21" i="8"/>
  <c r="AB21" i="8"/>
  <c r="AF21" i="8"/>
  <c r="AH21" i="8"/>
  <c r="AI21" i="8"/>
  <c r="AJ21" i="8"/>
  <c r="O22" i="8"/>
  <c r="P22" i="8"/>
  <c r="U22" i="8"/>
  <c r="AA22" i="8"/>
  <c r="AC22" i="8"/>
  <c r="AD22" i="8"/>
  <c r="AB22" i="8"/>
  <c r="AF22" i="8"/>
  <c r="AH22" i="8"/>
  <c r="AI22" i="8"/>
  <c r="AJ22" i="8"/>
  <c r="O24" i="8"/>
  <c r="P24" i="8"/>
  <c r="U24" i="8"/>
  <c r="AA24" i="8"/>
  <c r="AC24" i="8"/>
  <c r="AD24" i="8"/>
  <c r="AB24" i="8"/>
  <c r="AF24" i="8"/>
  <c r="AH24" i="8"/>
  <c r="AI24" i="8"/>
  <c r="AJ24" i="8"/>
  <c r="O25" i="8"/>
  <c r="P25" i="8"/>
  <c r="U25" i="8"/>
  <c r="AA25" i="8"/>
  <c r="AC25" i="8"/>
  <c r="AD25" i="8"/>
  <c r="AB25" i="8"/>
  <c r="AF25" i="8"/>
  <c r="AH25" i="8"/>
  <c r="AI25" i="8"/>
  <c r="AJ25" i="8"/>
  <c r="U27" i="8"/>
  <c r="AA27" i="8"/>
  <c r="AC27" i="8"/>
  <c r="AD27" i="8"/>
  <c r="AB27" i="8"/>
  <c r="AF27" i="8"/>
  <c r="AH27" i="8"/>
  <c r="AI27" i="8"/>
  <c r="AJ27" i="8"/>
  <c r="AJ29" i="8"/>
  <c r="U31" i="8"/>
  <c r="AA31" i="8"/>
  <c r="AC31" i="8"/>
  <c r="AD31" i="8"/>
  <c r="AB31" i="8"/>
  <c r="AF31" i="8"/>
  <c r="AH31" i="8"/>
  <c r="AI31" i="8"/>
  <c r="AJ31" i="8"/>
  <c r="U32" i="8"/>
  <c r="AA32" i="8"/>
  <c r="AC32" i="8"/>
  <c r="AD32" i="8"/>
  <c r="AB32" i="8"/>
  <c r="AF32" i="8"/>
  <c r="AH32" i="8"/>
  <c r="AI32" i="8"/>
  <c r="AJ32" i="8"/>
  <c r="U33" i="8"/>
  <c r="AA33" i="8"/>
  <c r="AC33" i="8"/>
  <c r="AD33" i="8"/>
  <c r="AB33" i="8"/>
  <c r="AF33" i="8"/>
  <c r="AH33" i="8"/>
  <c r="AI33" i="8"/>
  <c r="AJ33" i="8"/>
  <c r="U34" i="8"/>
  <c r="AA34" i="8"/>
  <c r="AC34" i="8"/>
  <c r="AD34" i="8"/>
  <c r="AB34" i="8"/>
  <c r="AF34" i="8"/>
  <c r="AH34" i="8"/>
  <c r="AI34" i="8"/>
  <c r="AJ34" i="8"/>
  <c r="U35" i="8"/>
  <c r="AA35" i="8"/>
  <c r="AC35" i="8"/>
  <c r="AD35" i="8"/>
  <c r="AB35" i="8"/>
  <c r="AF35" i="8"/>
  <c r="AH35" i="8"/>
  <c r="AI35" i="8"/>
  <c r="AJ35" i="8"/>
  <c r="U36" i="8"/>
  <c r="AA36" i="8"/>
  <c r="AC36" i="8"/>
  <c r="AD36" i="8"/>
  <c r="AB36" i="8"/>
  <c r="AF36" i="8"/>
  <c r="AH36" i="8"/>
  <c r="AI36" i="8"/>
  <c r="AJ36" i="8"/>
  <c r="U37" i="8"/>
  <c r="AA37" i="8"/>
  <c r="AC37" i="8"/>
  <c r="AD37" i="8"/>
  <c r="AB37" i="8"/>
  <c r="AF37" i="8"/>
  <c r="AH37" i="8"/>
  <c r="AI37" i="8"/>
  <c r="AJ37" i="8"/>
  <c r="U38" i="8"/>
  <c r="AA38" i="8"/>
  <c r="AC38" i="8"/>
  <c r="AD38" i="8"/>
  <c r="AB38" i="8"/>
  <c r="AF38" i="8"/>
  <c r="AH38" i="8"/>
  <c r="AI38" i="8"/>
  <c r="AJ38" i="8"/>
  <c r="U39" i="8"/>
  <c r="AA39" i="8"/>
  <c r="AC39" i="8"/>
  <c r="AD39" i="8"/>
  <c r="AB39" i="8"/>
  <c r="AF39" i="8"/>
  <c r="AH39" i="8"/>
  <c r="AI39" i="8"/>
  <c r="AJ39" i="8"/>
  <c r="U40" i="8"/>
  <c r="AA40" i="8"/>
  <c r="AC40" i="8"/>
  <c r="AD40" i="8"/>
  <c r="AB40" i="8"/>
  <c r="AF40" i="8"/>
  <c r="AH40" i="8"/>
  <c r="AI40" i="8"/>
  <c r="AJ40" i="8"/>
  <c r="U41" i="8"/>
  <c r="AA41" i="8"/>
  <c r="AC41" i="8"/>
  <c r="AD41" i="8"/>
  <c r="AB41" i="8"/>
  <c r="AF41" i="8"/>
  <c r="AH41" i="8"/>
  <c r="AI41" i="8"/>
  <c r="AJ41" i="8"/>
  <c r="U42" i="8"/>
  <c r="AA42" i="8"/>
  <c r="AC42" i="8"/>
  <c r="AD42" i="8"/>
  <c r="AB42" i="8"/>
  <c r="AF42" i="8"/>
  <c r="AH42" i="8"/>
  <c r="AI42" i="8"/>
  <c r="AJ42" i="8"/>
  <c r="AJ44" i="8"/>
  <c r="U46" i="8"/>
  <c r="AA46" i="8"/>
  <c r="AC46" i="8"/>
  <c r="AD46" i="8"/>
  <c r="AB46" i="8"/>
  <c r="AF46" i="8"/>
  <c r="AH46" i="8"/>
  <c r="AI46" i="8"/>
  <c r="AJ46" i="8"/>
  <c r="U47" i="8"/>
  <c r="AA47" i="8"/>
  <c r="AC47" i="8"/>
  <c r="AD47" i="8"/>
  <c r="AB47" i="8"/>
  <c r="AF47" i="8"/>
  <c r="AH47" i="8"/>
  <c r="AI47" i="8"/>
  <c r="AJ47" i="8"/>
  <c r="U48" i="8"/>
  <c r="AA48" i="8"/>
  <c r="AC48" i="8"/>
  <c r="AD48" i="8"/>
  <c r="AB48" i="8"/>
  <c r="AF48" i="8"/>
  <c r="AH48" i="8"/>
  <c r="AI48" i="8"/>
  <c r="AJ48" i="8"/>
  <c r="AJ50" i="8"/>
  <c r="U52" i="8"/>
  <c r="AA52" i="8"/>
  <c r="AC52" i="8"/>
  <c r="AD52" i="8"/>
  <c r="AB52" i="8"/>
  <c r="AF52" i="8"/>
  <c r="AH52" i="8"/>
  <c r="AI52" i="8"/>
  <c r="AJ52" i="8"/>
  <c r="N53" i="8"/>
  <c r="U53" i="8"/>
  <c r="AA53" i="8"/>
  <c r="AC53" i="8"/>
  <c r="AD53" i="8"/>
  <c r="AB53" i="8"/>
  <c r="AF53" i="8"/>
  <c r="AH53" i="8"/>
  <c r="AI53" i="8"/>
  <c r="AJ53" i="8"/>
  <c r="U54" i="8"/>
  <c r="AA54" i="8"/>
  <c r="AC54" i="8"/>
  <c r="AD54" i="8"/>
  <c r="AB54" i="8"/>
  <c r="AF54" i="8"/>
  <c r="AH54" i="8"/>
  <c r="AI54" i="8"/>
  <c r="AJ54" i="8"/>
  <c r="U55" i="8"/>
  <c r="AA55" i="8"/>
  <c r="AC55" i="8"/>
  <c r="AD55" i="8"/>
  <c r="AB55" i="8"/>
  <c r="AF55" i="8"/>
  <c r="AH55" i="8"/>
  <c r="AI55" i="8"/>
  <c r="AJ55" i="8"/>
  <c r="U56" i="8"/>
  <c r="AA56" i="8"/>
  <c r="AC56" i="8"/>
  <c r="AD56" i="8"/>
  <c r="AB56" i="8"/>
  <c r="AF56" i="8"/>
  <c r="AH56" i="8"/>
  <c r="AI56" i="8"/>
  <c r="AJ56" i="8"/>
  <c r="U57" i="8"/>
  <c r="AA57" i="8"/>
  <c r="AC57" i="8"/>
  <c r="AD57" i="8"/>
  <c r="AB57" i="8"/>
  <c r="AF57" i="8"/>
  <c r="AH57" i="8"/>
  <c r="AI57" i="8"/>
  <c r="AJ57" i="8"/>
  <c r="AJ59" i="8"/>
  <c r="U61" i="8"/>
  <c r="AF61" i="8"/>
  <c r="AH61" i="8"/>
  <c r="AI61" i="8"/>
  <c r="AJ61" i="8"/>
  <c r="AJ65" i="8"/>
  <c r="AD29" i="8"/>
  <c r="AD44" i="8"/>
  <c r="AD50" i="8"/>
  <c r="AD59" i="8"/>
  <c r="AH29" i="8"/>
  <c r="AH44" i="8"/>
  <c r="AH50" i="8"/>
  <c r="AH59" i="8"/>
  <c r="AH65" i="8"/>
  <c r="K12" i="7"/>
  <c r="N12" i="7" s="1"/>
  <c r="O12" i="7"/>
  <c r="P12" i="7" s="1"/>
  <c r="K13" i="7"/>
  <c r="O13" i="7"/>
  <c r="P13" i="7" s="1"/>
  <c r="AA13" i="7" s="1"/>
  <c r="AB13" i="7" s="1"/>
  <c r="AF13" i="7" s="1"/>
  <c r="K14" i="7"/>
  <c r="N14" i="7" s="1"/>
  <c r="Z14" i="7" s="1"/>
  <c r="O14" i="7"/>
  <c r="P14" i="7" s="1"/>
  <c r="K15" i="7"/>
  <c r="O15" i="7"/>
  <c r="P15" i="7" s="1"/>
  <c r="AA15" i="7" s="1"/>
  <c r="AB15" i="7" s="1"/>
  <c r="AF15" i="7" s="1"/>
  <c r="K16" i="7"/>
  <c r="N16" i="7" s="1"/>
  <c r="Z16" i="7" s="1"/>
  <c r="O16" i="7"/>
  <c r="P16" i="7"/>
  <c r="AA16" i="7" s="1"/>
  <c r="K17" i="7"/>
  <c r="O17" i="7"/>
  <c r="P17" i="7" s="1"/>
  <c r="AA17" i="7" s="1"/>
  <c r="K18" i="7"/>
  <c r="N18" i="7" s="1"/>
  <c r="O18" i="7"/>
  <c r="P18" i="7" s="1"/>
  <c r="K19" i="7"/>
  <c r="O19" i="7"/>
  <c r="P19" i="7" s="1"/>
  <c r="AA19" i="7" s="1"/>
  <c r="K20" i="7"/>
  <c r="N20" i="7"/>
  <c r="Z20" i="7" s="1"/>
  <c r="O20" i="7"/>
  <c r="P20" i="7" s="1"/>
  <c r="K21" i="7"/>
  <c r="O21" i="7"/>
  <c r="P21" i="7" s="1"/>
  <c r="AA21" i="7" s="1"/>
  <c r="AB21" i="7" s="1"/>
  <c r="AF21" i="7" s="1"/>
  <c r="K22" i="7"/>
  <c r="O22" i="7"/>
  <c r="P22" i="7" s="1"/>
  <c r="AA22" i="7" s="1"/>
  <c r="K23" i="7"/>
  <c r="O23" i="7"/>
  <c r="P23" i="7" s="1"/>
  <c r="AA23" i="7" s="1"/>
  <c r="AB23" i="7" s="1"/>
  <c r="AF23" i="7" s="1"/>
  <c r="K24" i="7"/>
  <c r="N24" i="7" s="1"/>
  <c r="Z24" i="7" s="1"/>
  <c r="O24" i="7"/>
  <c r="P24" i="7" s="1"/>
  <c r="AA24" i="7" s="1"/>
  <c r="K25" i="7"/>
  <c r="O25" i="7"/>
  <c r="P25" i="7" s="1"/>
  <c r="AA25" i="7" s="1"/>
  <c r="K26" i="7"/>
  <c r="N26" i="7" s="1"/>
  <c r="Z26" i="7" s="1"/>
  <c r="O26" i="7"/>
  <c r="P26" i="7" s="1"/>
  <c r="K27" i="7"/>
  <c r="O27" i="7"/>
  <c r="P27" i="7" s="1"/>
  <c r="AA27" i="7" s="1"/>
  <c r="K28" i="7"/>
  <c r="N28" i="7" s="1"/>
  <c r="Z28" i="7" s="1"/>
  <c r="O28" i="7"/>
  <c r="P28" i="7" s="1"/>
  <c r="K29" i="7"/>
  <c r="O29" i="7"/>
  <c r="P29" i="7" s="1"/>
  <c r="AA29" i="7" s="1"/>
  <c r="K30" i="7"/>
  <c r="N30" i="7" s="1"/>
  <c r="Z30" i="7" s="1"/>
  <c r="O30" i="7"/>
  <c r="P30" i="7"/>
  <c r="K31" i="7"/>
  <c r="O31" i="7"/>
  <c r="P31" i="7" s="1"/>
  <c r="AA31" i="7" s="1"/>
  <c r="AB31" i="7" s="1"/>
  <c r="AF31" i="7" s="1"/>
  <c r="K32" i="7"/>
  <c r="N32" i="7" s="1"/>
  <c r="O32" i="7"/>
  <c r="P32" i="7" s="1"/>
  <c r="AA32" i="7" s="1"/>
  <c r="K33" i="7"/>
  <c r="O33" i="7"/>
  <c r="P33" i="7" s="1"/>
  <c r="AA33" i="7" s="1"/>
  <c r="K34" i="7"/>
  <c r="O34" i="7"/>
  <c r="P34" i="7" s="1"/>
  <c r="AA34" i="7" s="1"/>
  <c r="K35" i="7"/>
  <c r="O35" i="7"/>
  <c r="P35" i="7" s="1"/>
  <c r="AA35" i="7" s="1"/>
  <c r="K36" i="7"/>
  <c r="N36" i="7" s="1"/>
  <c r="O36" i="7"/>
  <c r="P36" i="7" s="1"/>
  <c r="K37" i="7"/>
  <c r="O37" i="7"/>
  <c r="P37" i="7" s="1"/>
  <c r="AA37" i="7" s="1"/>
  <c r="AB37" i="7" s="1"/>
  <c r="AF37" i="7" s="1"/>
  <c r="K38" i="7"/>
  <c r="N38" i="7" s="1"/>
  <c r="O38" i="7"/>
  <c r="P38" i="7" s="1"/>
  <c r="K39" i="7"/>
  <c r="O39" i="7"/>
  <c r="P39" i="7" s="1"/>
  <c r="AA39" i="7" s="1"/>
  <c r="AB39" i="7" s="1"/>
  <c r="K40" i="7"/>
  <c r="N40" i="7"/>
  <c r="Z40" i="7" s="1"/>
  <c r="O40" i="7"/>
  <c r="P40" i="7" s="1"/>
  <c r="AA40" i="7" s="1"/>
  <c r="K41" i="7"/>
  <c r="O41" i="7"/>
  <c r="P41" i="7" s="1"/>
  <c r="AA41" i="7" s="1"/>
  <c r="K42" i="7"/>
  <c r="N42" i="7" s="1"/>
  <c r="Z42" i="7" s="1"/>
  <c r="O42" i="7"/>
  <c r="P42" i="7" s="1"/>
  <c r="K43" i="7"/>
  <c r="N43" i="7" s="1"/>
  <c r="O43" i="7"/>
  <c r="P43" i="7" s="1"/>
  <c r="AA43" i="7" s="1"/>
  <c r="AB43" i="7" s="1"/>
  <c r="AF43" i="7" s="1"/>
  <c r="K44" i="7"/>
  <c r="O44" i="7"/>
  <c r="P44" i="7" s="1"/>
  <c r="AA44" i="7" s="1"/>
  <c r="K45" i="7"/>
  <c r="O45" i="7"/>
  <c r="P45" i="7" s="1"/>
  <c r="AA45" i="7" s="1"/>
  <c r="AB45" i="7" s="1"/>
  <c r="AF45" i="7" s="1"/>
  <c r="K46" i="7"/>
  <c r="N46" i="7" s="1"/>
  <c r="O46" i="7"/>
  <c r="P46" i="7" s="1"/>
  <c r="K47" i="7"/>
  <c r="N47" i="7" s="1"/>
  <c r="Z47" i="7" s="1"/>
  <c r="O47" i="7"/>
  <c r="P47" i="7" s="1"/>
  <c r="K48" i="7"/>
  <c r="N48" i="7" s="1"/>
  <c r="Z48" i="7" s="1"/>
  <c r="O48" i="7"/>
  <c r="P48" i="7" s="1"/>
  <c r="AA48" i="7" s="1"/>
  <c r="K49" i="7"/>
  <c r="O49" i="7"/>
  <c r="P49" i="7" s="1"/>
  <c r="AA49" i="7" s="1"/>
  <c r="AB49" i="7" s="1"/>
  <c r="AF49" i="7" s="1"/>
  <c r="K50" i="7"/>
  <c r="N50" i="7" s="1"/>
  <c r="O50" i="7"/>
  <c r="P50" i="7" s="1"/>
  <c r="K51" i="7"/>
  <c r="N51" i="7" s="1"/>
  <c r="Z51" i="7" s="1"/>
  <c r="O51" i="7"/>
  <c r="P51" i="7" s="1"/>
  <c r="K52" i="7"/>
  <c r="O52" i="7"/>
  <c r="P52" i="7" s="1"/>
  <c r="AA52" i="7" s="1"/>
  <c r="K53" i="7"/>
  <c r="O53" i="7"/>
  <c r="P53" i="7" s="1"/>
  <c r="AA53" i="7" s="1"/>
  <c r="K54" i="7"/>
  <c r="N54" i="7" s="1"/>
  <c r="Z54" i="7" s="1"/>
  <c r="O54" i="7"/>
  <c r="P54" i="7" s="1"/>
  <c r="AA54" i="7" s="1"/>
  <c r="K55" i="7"/>
  <c r="N55" i="7" s="1"/>
  <c r="O55" i="7"/>
  <c r="P55" i="7" s="1"/>
  <c r="K56" i="7"/>
  <c r="N56" i="7" s="1"/>
  <c r="O56" i="7"/>
  <c r="P56" i="7" s="1"/>
  <c r="AA56" i="7" s="1"/>
  <c r="K57" i="7"/>
  <c r="O57" i="7"/>
  <c r="P57" i="7" s="1"/>
  <c r="AA57" i="7" s="1"/>
  <c r="K58" i="7"/>
  <c r="N58" i="7" s="1"/>
  <c r="Z58" i="7" s="1"/>
  <c r="O58" i="7"/>
  <c r="P58" i="7" s="1"/>
  <c r="AA58" i="7" s="1"/>
  <c r="K59" i="7"/>
  <c r="N59" i="7" s="1"/>
  <c r="O59" i="7"/>
  <c r="P59" i="7" s="1"/>
  <c r="AA59" i="7" s="1"/>
  <c r="K60" i="7"/>
  <c r="N60" i="7" s="1"/>
  <c r="Z60" i="7" s="1"/>
  <c r="O60" i="7"/>
  <c r="P60" i="7" s="1"/>
  <c r="K61" i="7"/>
  <c r="N61" i="7" s="1"/>
  <c r="O61" i="7"/>
  <c r="P61" i="7" s="1"/>
  <c r="AA61" i="7" s="1"/>
  <c r="AB61" i="7" s="1"/>
  <c r="AF61" i="7" s="1"/>
  <c r="K62" i="7"/>
  <c r="O62" i="7"/>
  <c r="P62" i="7" s="1"/>
  <c r="AA62" i="7" s="1"/>
  <c r="AB62" i="7" s="1"/>
  <c r="AF62" i="7" s="1"/>
  <c r="K63" i="7"/>
  <c r="N63" i="7" s="1"/>
  <c r="O63" i="7"/>
  <c r="P63" i="7" s="1"/>
  <c r="AA63" i="7" s="1"/>
  <c r="K64" i="7"/>
  <c r="N64" i="7" s="1"/>
  <c r="Z64" i="7" s="1"/>
  <c r="O64" i="7"/>
  <c r="P64" i="7" s="1"/>
  <c r="AA64" i="7" s="1"/>
  <c r="K65" i="7"/>
  <c r="N65" i="7" s="1"/>
  <c r="O65" i="7"/>
  <c r="P65" i="7" s="1"/>
  <c r="AA65" i="7" s="1"/>
  <c r="K66" i="7"/>
  <c r="O66" i="7"/>
  <c r="P66" i="7" s="1"/>
  <c r="AA66" i="7" s="1"/>
  <c r="K67" i="7"/>
  <c r="N67" i="7" s="1"/>
  <c r="O67" i="7"/>
  <c r="P67" i="7" s="1"/>
  <c r="AA67" i="7" s="1"/>
  <c r="K68" i="7"/>
  <c r="N68" i="7" s="1"/>
  <c r="Z68" i="7" s="1"/>
  <c r="O68" i="7"/>
  <c r="P68" i="7" s="1"/>
  <c r="AA68" i="7" s="1"/>
  <c r="AB68" i="7" s="1"/>
  <c r="AF68" i="7" s="1"/>
  <c r="K69" i="7"/>
  <c r="N69" i="7" s="1"/>
  <c r="O69" i="7"/>
  <c r="P69" i="7" s="1"/>
  <c r="K70" i="7"/>
  <c r="O70" i="7"/>
  <c r="P70" i="7" s="1"/>
  <c r="AA70" i="7" s="1"/>
  <c r="K71" i="7"/>
  <c r="N71" i="7" s="1"/>
  <c r="O71" i="7"/>
  <c r="P71" i="7" s="1"/>
  <c r="AA71" i="7" s="1"/>
  <c r="K72" i="7"/>
  <c r="N72" i="7" s="1"/>
  <c r="Z72" i="7" s="1"/>
  <c r="O72" i="7"/>
  <c r="P72" i="7" s="1"/>
  <c r="AA72" i="7" s="1"/>
  <c r="K73" i="7"/>
  <c r="N73" i="7" s="1"/>
  <c r="O73" i="7"/>
  <c r="P73" i="7" s="1"/>
  <c r="AA73" i="7" s="1"/>
  <c r="U73" i="7"/>
  <c r="K74" i="7"/>
  <c r="O74" i="7"/>
  <c r="P74" i="7" s="1"/>
  <c r="AA74" i="7" s="1"/>
  <c r="K75" i="7"/>
  <c r="N75" i="7" s="1"/>
  <c r="Z75" i="7" s="1"/>
  <c r="O75" i="7"/>
  <c r="P75" i="7" s="1"/>
  <c r="AA75" i="7" s="1"/>
  <c r="K76" i="7"/>
  <c r="N76" i="7" s="1"/>
  <c r="Z76" i="7" s="1"/>
  <c r="O76" i="7"/>
  <c r="P76" i="7" s="1"/>
  <c r="AA76" i="7" s="1"/>
  <c r="AB76" i="7" s="1"/>
  <c r="AF76" i="7" s="1"/>
  <c r="K77" i="7"/>
  <c r="N77" i="7" s="1"/>
  <c r="Z77" i="7" s="1"/>
  <c r="O77" i="7"/>
  <c r="P77" i="7" s="1"/>
  <c r="K78" i="7"/>
  <c r="O78" i="7"/>
  <c r="P78" i="7" s="1"/>
  <c r="AA78" i="7" s="1"/>
  <c r="AB78" i="7" s="1"/>
  <c r="AF78" i="7" s="1"/>
  <c r="K79" i="7"/>
  <c r="N79" i="7" s="1"/>
  <c r="Z79" i="7" s="1"/>
  <c r="O79" i="7"/>
  <c r="P79" i="7" s="1"/>
  <c r="AA79" i="7" s="1"/>
  <c r="K80" i="7"/>
  <c r="N80" i="7" s="1"/>
  <c r="O80" i="7"/>
  <c r="P80" i="7" s="1"/>
  <c r="AA80" i="7" s="1"/>
  <c r="K81" i="7"/>
  <c r="O81" i="7"/>
  <c r="P81" i="7" s="1"/>
  <c r="AA81" i="7" s="1"/>
  <c r="K82" i="7"/>
  <c r="N82" i="7" s="1"/>
  <c r="O82" i="7"/>
  <c r="P82" i="7"/>
  <c r="K83" i="7"/>
  <c r="O83" i="7"/>
  <c r="P83" i="7" s="1"/>
  <c r="AA83" i="7" s="1"/>
  <c r="K84" i="7"/>
  <c r="N84" i="7" s="1"/>
  <c r="O84" i="7"/>
  <c r="P84" i="7" s="1"/>
  <c r="AA84" i="7" s="1"/>
  <c r="K85" i="7"/>
  <c r="U85" i="7" s="1"/>
  <c r="O85" i="7"/>
  <c r="P85" i="7" s="1"/>
  <c r="AA85" i="7" s="1"/>
  <c r="AB85" i="7" s="1"/>
  <c r="AF85" i="7" s="1"/>
  <c r="K86" i="7"/>
  <c r="N86" i="7" s="1"/>
  <c r="Z86" i="7" s="1"/>
  <c r="O86" i="7"/>
  <c r="P86" i="7" s="1"/>
  <c r="AA86" i="7" s="1"/>
  <c r="AB86" i="7" s="1"/>
  <c r="AF86" i="7" s="1"/>
  <c r="K87" i="7"/>
  <c r="O87" i="7"/>
  <c r="P87" i="7" s="1"/>
  <c r="AA87" i="7" s="1"/>
  <c r="K88" i="7"/>
  <c r="N88" i="7" s="1"/>
  <c r="O88" i="7"/>
  <c r="P88" i="7" s="1"/>
  <c r="AA88" i="7" s="1"/>
  <c r="K89" i="7"/>
  <c r="N89" i="7" s="1"/>
  <c r="Z89" i="7" s="1"/>
  <c r="O89" i="7"/>
  <c r="P89" i="7" s="1"/>
  <c r="K90" i="7"/>
  <c r="N90" i="7" s="1"/>
  <c r="O90" i="7"/>
  <c r="P90" i="7" s="1"/>
  <c r="AA90" i="7" s="1"/>
  <c r="AB90" i="7" s="1"/>
  <c r="AF90" i="7" s="1"/>
  <c r="K91" i="7"/>
  <c r="O91" i="7"/>
  <c r="P91" i="7" s="1"/>
  <c r="AA91" i="7" s="1"/>
  <c r="K92" i="7"/>
  <c r="N92" i="7" s="1"/>
  <c r="Z92" i="7" s="1"/>
  <c r="O92" i="7"/>
  <c r="P92" i="7" s="1"/>
  <c r="K93" i="7"/>
  <c r="N93" i="7" s="1"/>
  <c r="Z93" i="7" s="1"/>
  <c r="O93" i="7"/>
  <c r="P93" i="7" s="1"/>
  <c r="AA93" i="7" s="1"/>
  <c r="K94" i="7"/>
  <c r="O94" i="7"/>
  <c r="P94" i="7" s="1"/>
  <c r="AA94" i="7" s="1"/>
  <c r="K95" i="7"/>
  <c r="O95" i="7"/>
  <c r="P95" i="7" s="1"/>
  <c r="AA95" i="7" s="1"/>
  <c r="K96" i="7"/>
  <c r="N96" i="7" s="1"/>
  <c r="Z96" i="7" s="1"/>
  <c r="O96" i="7"/>
  <c r="P96" i="7" s="1"/>
  <c r="K97" i="7"/>
  <c r="N97" i="7" s="1"/>
  <c r="Z97" i="7" s="1"/>
  <c r="O97" i="7"/>
  <c r="P97" i="7" s="1"/>
  <c r="AA97" i="7" s="1"/>
  <c r="AB97" i="7" s="1"/>
  <c r="AF97" i="7" s="1"/>
  <c r="K98" i="7"/>
  <c r="N98" i="7" s="1"/>
  <c r="O98" i="7"/>
  <c r="P98" i="7" s="1"/>
  <c r="AA98" i="7" s="1"/>
  <c r="AB98" i="7" s="1"/>
  <c r="AF98" i="7" s="1"/>
  <c r="K99" i="7"/>
  <c r="O99" i="7"/>
  <c r="P99" i="7" s="1"/>
  <c r="AA99" i="7" s="1"/>
  <c r="AB99" i="7" s="1"/>
  <c r="AF99" i="7" s="1"/>
  <c r="K100" i="7"/>
  <c r="N100" i="7"/>
  <c r="Z100" i="7" s="1"/>
  <c r="O100" i="7"/>
  <c r="P100" i="7" s="1"/>
  <c r="K101" i="7"/>
  <c r="N101" i="7" s="1"/>
  <c r="Z101" i="7" s="1"/>
  <c r="O101" i="7"/>
  <c r="P101" i="7" s="1"/>
  <c r="AA101" i="7" s="1"/>
  <c r="AB101" i="7" s="1"/>
  <c r="AF101" i="7" s="1"/>
  <c r="K102" i="7"/>
  <c r="O102" i="7"/>
  <c r="P102" i="7" s="1"/>
  <c r="AA102" i="7" s="1"/>
  <c r="AB102" i="7" s="1"/>
  <c r="AF102" i="7" s="1"/>
  <c r="K103" i="7"/>
  <c r="O103" i="7"/>
  <c r="P103" i="7" s="1"/>
  <c r="AA103" i="7" s="1"/>
  <c r="K104" i="7"/>
  <c r="N104" i="7" s="1"/>
  <c r="Z104" i="7" s="1"/>
  <c r="O104" i="7"/>
  <c r="P104" i="7" s="1"/>
  <c r="K105" i="7"/>
  <c r="N105" i="7" s="1"/>
  <c r="Z105" i="7" s="1"/>
  <c r="O105" i="7"/>
  <c r="P105" i="7" s="1"/>
  <c r="K106" i="7"/>
  <c r="N106" i="7" s="1"/>
  <c r="O106" i="7"/>
  <c r="P106" i="7" s="1"/>
  <c r="K107" i="7"/>
  <c r="O107" i="7"/>
  <c r="P107" i="7"/>
  <c r="AA107" i="7" s="1"/>
  <c r="K108" i="7"/>
  <c r="N108" i="7" s="1"/>
  <c r="Z108" i="7" s="1"/>
  <c r="O108" i="7"/>
  <c r="P108" i="7" s="1"/>
  <c r="AA108" i="7" s="1"/>
  <c r="AB108" i="7" s="1"/>
  <c r="AF108" i="7" s="1"/>
  <c r="K109" i="7"/>
  <c r="O109" i="7"/>
  <c r="P109" i="7" s="1"/>
  <c r="AA109" i="7" s="1"/>
  <c r="AB109" i="7" s="1"/>
  <c r="AF109" i="7" s="1"/>
  <c r="K110" i="7"/>
  <c r="N110" i="7" s="1"/>
  <c r="Z110" i="7" s="1"/>
  <c r="O110" i="7"/>
  <c r="P110" i="7" s="1"/>
  <c r="AA110" i="7" s="1"/>
  <c r="K111" i="7"/>
  <c r="O111" i="7"/>
  <c r="P111" i="7" s="1"/>
  <c r="AA111" i="7" s="1"/>
  <c r="AB111" i="7" s="1"/>
  <c r="AF111" i="7" s="1"/>
  <c r="K112" i="7"/>
  <c r="N112" i="7" s="1"/>
  <c r="Z112" i="7" s="1"/>
  <c r="O112" i="7"/>
  <c r="P112" i="7" s="1"/>
  <c r="AA112" i="7" s="1"/>
  <c r="K113" i="7"/>
  <c r="N113" i="7" s="1"/>
  <c r="O113" i="7"/>
  <c r="P113" i="7" s="1"/>
  <c r="K114" i="7"/>
  <c r="N114" i="7" s="1"/>
  <c r="Z114" i="7" s="1"/>
  <c r="O114" i="7"/>
  <c r="P114" i="7" s="1"/>
  <c r="K115" i="7"/>
  <c r="O115" i="7"/>
  <c r="P115" i="7" s="1"/>
  <c r="AA115" i="7" s="1"/>
  <c r="K116" i="7"/>
  <c r="N116" i="7" s="1"/>
  <c r="O116" i="7"/>
  <c r="P116" i="7" s="1"/>
  <c r="AA116" i="7" s="1"/>
  <c r="AB116" i="7" s="1"/>
  <c r="AF116" i="7" s="1"/>
  <c r="K117" i="7"/>
  <c r="O117" i="7"/>
  <c r="P117" i="7" s="1"/>
  <c r="AA117" i="7" s="1"/>
  <c r="AB117" i="7" s="1"/>
  <c r="AF117" i="7" s="1"/>
  <c r="K118" i="7"/>
  <c r="O118" i="7"/>
  <c r="P118" i="7" s="1"/>
  <c r="AA118" i="7" s="1"/>
  <c r="K119" i="7"/>
  <c r="O119" i="7"/>
  <c r="P119" i="7" s="1"/>
  <c r="AA119" i="7" s="1"/>
  <c r="AB119" i="7" s="1"/>
  <c r="K120" i="7"/>
  <c r="N120" i="7" s="1"/>
  <c r="Z120" i="7" s="1"/>
  <c r="O120" i="7"/>
  <c r="P120" i="7" s="1"/>
  <c r="AA120" i="7" s="1"/>
  <c r="K121" i="7"/>
  <c r="N121" i="7" s="1"/>
  <c r="Z121" i="7" s="1"/>
  <c r="O121" i="7"/>
  <c r="P121" i="7" s="1"/>
  <c r="K122" i="7"/>
  <c r="N122" i="7" s="1"/>
  <c r="O122" i="7"/>
  <c r="P122" i="7" s="1"/>
  <c r="AA122" i="7" s="1"/>
  <c r="K123" i="7"/>
  <c r="O123" i="7"/>
  <c r="P123" i="7" s="1"/>
  <c r="AA123" i="7" s="1"/>
  <c r="K124" i="7"/>
  <c r="N124" i="7" s="1"/>
  <c r="Z124" i="7" s="1"/>
  <c r="O124" i="7"/>
  <c r="P124" i="7" s="1"/>
  <c r="AA124" i="7" s="1"/>
  <c r="AB124" i="7" s="1"/>
  <c r="AF124" i="7" s="1"/>
  <c r="K125" i="7"/>
  <c r="O125" i="7"/>
  <c r="P125" i="7" s="1"/>
  <c r="AA125" i="7" s="1"/>
  <c r="AB125" i="7" s="1"/>
  <c r="AF125" i="7" s="1"/>
  <c r="O127" i="7"/>
  <c r="P127" i="7" s="1"/>
  <c r="O128" i="7"/>
  <c r="P128" i="7" s="1"/>
  <c r="O129" i="7"/>
  <c r="P129" i="7" s="1"/>
  <c r="U129" i="7" s="1"/>
  <c r="BF129" i="7" s="1"/>
  <c r="O130" i="7"/>
  <c r="P130" i="7" s="1"/>
  <c r="AA130" i="7" s="1"/>
  <c r="AB130" i="7" s="1"/>
  <c r="O131" i="7"/>
  <c r="P131" i="7" s="1"/>
  <c r="O132" i="7"/>
  <c r="P132" i="7" s="1"/>
  <c r="O134" i="7"/>
  <c r="P134" i="7" s="1"/>
  <c r="O135" i="7"/>
  <c r="P135" i="7" s="1"/>
  <c r="O136" i="7"/>
  <c r="P136" i="7" s="1"/>
  <c r="O137" i="7"/>
  <c r="P137" i="7" s="1"/>
  <c r="O138" i="7"/>
  <c r="P138" i="7" s="1"/>
  <c r="AA138" i="7" s="1"/>
  <c r="O139" i="7"/>
  <c r="P139" i="7" s="1"/>
  <c r="O140" i="7"/>
  <c r="P140" i="7" s="1"/>
  <c r="U140" i="7" s="1"/>
  <c r="X140" i="7" s="1"/>
  <c r="O144" i="7"/>
  <c r="P144" i="7" s="1"/>
  <c r="O145" i="7"/>
  <c r="P145" i="7" s="1"/>
  <c r="O146" i="7"/>
  <c r="P146" i="7" s="1"/>
  <c r="O147" i="7"/>
  <c r="P147" i="7"/>
  <c r="O148" i="7"/>
  <c r="P148" i="7" s="1"/>
  <c r="O149" i="7"/>
  <c r="P149" i="7"/>
  <c r="O150" i="7"/>
  <c r="P150" i="7" s="1"/>
  <c r="O151" i="7"/>
  <c r="P151" i="7" s="1"/>
  <c r="O152" i="7"/>
  <c r="P152" i="7" s="1"/>
  <c r="O153" i="7"/>
  <c r="P153" i="7" s="1"/>
  <c r="U153" i="7" s="1"/>
  <c r="O154" i="7"/>
  <c r="P154" i="7" s="1"/>
  <c r="O155" i="7"/>
  <c r="P155" i="7" s="1"/>
  <c r="O156" i="7"/>
  <c r="P156" i="7" s="1"/>
  <c r="AA157" i="7"/>
  <c r="AB157" i="7" s="1"/>
  <c r="AF157" i="7" s="1"/>
  <c r="AH157" i="7" s="1"/>
  <c r="U157" i="7"/>
  <c r="AA158" i="7"/>
  <c r="U158" i="7"/>
  <c r="O159" i="7"/>
  <c r="P159" i="7"/>
  <c r="O160" i="7"/>
  <c r="P160" i="7" s="1"/>
  <c r="AA160" i="7" s="1"/>
  <c r="U160" i="7"/>
  <c r="O164" i="7"/>
  <c r="P164" i="7"/>
  <c r="AA164" i="7" s="1"/>
  <c r="O165" i="7"/>
  <c r="P165" i="7" s="1"/>
  <c r="O166" i="7"/>
  <c r="P166" i="7" s="1"/>
  <c r="U166" i="7" s="1"/>
  <c r="AA166" i="7"/>
  <c r="O167" i="7"/>
  <c r="P167" i="7" s="1"/>
  <c r="O168" i="7"/>
  <c r="P168" i="7" s="1"/>
  <c r="O169" i="7"/>
  <c r="P169" i="7" s="1"/>
  <c r="O173" i="7"/>
  <c r="P173" i="7" s="1"/>
  <c r="O174" i="7"/>
  <c r="P174" i="7" s="1"/>
  <c r="O175" i="7"/>
  <c r="P175" i="7" s="1"/>
  <c r="O176" i="7"/>
  <c r="P176" i="7" s="1"/>
  <c r="O177" i="7"/>
  <c r="P177" i="7" s="1"/>
  <c r="O178" i="7"/>
  <c r="P178" i="7" s="1"/>
  <c r="U178" i="7" s="1"/>
  <c r="BG178" i="7" s="1"/>
  <c r="O179" i="7"/>
  <c r="P179" i="7" s="1"/>
  <c r="O183" i="7"/>
  <c r="P183" i="7" s="1"/>
  <c r="AF183" i="7" s="1"/>
  <c r="U183" i="7"/>
  <c r="O184" i="7"/>
  <c r="P184" i="7" s="1"/>
  <c r="O185" i="7"/>
  <c r="P185" i="7" s="1"/>
  <c r="O186" i="7"/>
  <c r="P186" i="7" s="1"/>
  <c r="K12" i="5"/>
  <c r="N12" i="5" s="1"/>
  <c r="AL12" i="5"/>
  <c r="K13" i="5"/>
  <c r="N13" i="5" s="1"/>
  <c r="AL13" i="5"/>
  <c r="K14" i="5"/>
  <c r="N14" i="5" s="1"/>
  <c r="AL14" i="5"/>
  <c r="K15" i="5"/>
  <c r="N15" i="5" s="1"/>
  <c r="AL15" i="5"/>
  <c r="K16" i="5"/>
  <c r="N16" i="5" s="1"/>
  <c r="AL16" i="5"/>
  <c r="K17" i="5"/>
  <c r="N17" i="5" s="1"/>
  <c r="AL17" i="5"/>
  <c r="K18" i="5"/>
  <c r="N18" i="5" s="1"/>
  <c r="AL18" i="5"/>
  <c r="K19" i="5"/>
  <c r="N19" i="5" s="1"/>
  <c r="AL19" i="5"/>
  <c r="K20" i="5"/>
  <c r="N20" i="5" s="1"/>
  <c r="AL20" i="5"/>
  <c r="K21" i="5"/>
  <c r="N21" i="5" s="1"/>
  <c r="AL21" i="5"/>
  <c r="K22" i="5"/>
  <c r="N22" i="5" s="1"/>
  <c r="AL22" i="5"/>
  <c r="K23" i="5"/>
  <c r="N23" i="5" s="1"/>
  <c r="AL23" i="5"/>
  <c r="K24" i="5"/>
  <c r="N24" i="5" s="1"/>
  <c r="AL24" i="5"/>
  <c r="K25" i="5"/>
  <c r="N25" i="5" s="1"/>
  <c r="AL25" i="5"/>
  <c r="K26" i="5"/>
  <c r="N26" i="5" s="1"/>
  <c r="AL26" i="5"/>
  <c r="K27" i="5"/>
  <c r="N27" i="5" s="1"/>
  <c r="AL27" i="5"/>
  <c r="K28" i="5"/>
  <c r="N28" i="5" s="1"/>
  <c r="AL28" i="5"/>
  <c r="K29" i="5"/>
  <c r="N29" i="5" s="1"/>
  <c r="AL29" i="5"/>
  <c r="K30" i="5"/>
  <c r="N30" i="5" s="1"/>
  <c r="AL30" i="5"/>
  <c r="K31" i="5"/>
  <c r="N31" i="5" s="1"/>
  <c r="AL31" i="5"/>
  <c r="K32" i="5"/>
  <c r="N32" i="5" s="1"/>
  <c r="AL32" i="5"/>
  <c r="K33" i="5"/>
  <c r="N33" i="5" s="1"/>
  <c r="AL33" i="5"/>
  <c r="K34" i="5"/>
  <c r="N34" i="5" s="1"/>
  <c r="AL34" i="5"/>
  <c r="K35" i="5"/>
  <c r="N35" i="5" s="1"/>
  <c r="AL35" i="5"/>
  <c r="K36" i="5"/>
  <c r="N36" i="5" s="1"/>
  <c r="AL36" i="5"/>
  <c r="K37" i="5"/>
  <c r="N37" i="5" s="1"/>
  <c r="AL37" i="5"/>
  <c r="K38" i="5"/>
  <c r="N38" i="5" s="1"/>
  <c r="AL38" i="5"/>
  <c r="K39" i="5"/>
  <c r="N39" i="5" s="1"/>
  <c r="AL39" i="5"/>
  <c r="K40" i="5"/>
  <c r="N40" i="5" s="1"/>
  <c r="AL40" i="5"/>
  <c r="AH50" i="5"/>
  <c r="AC34" i="5"/>
  <c r="AC42" i="5"/>
  <c r="AC43" i="5"/>
  <c r="AC44" i="5"/>
  <c r="AC46" i="5"/>
  <c r="AC47" i="5"/>
  <c r="AC49" i="5"/>
  <c r="AC50" i="5"/>
  <c r="AB55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4" i="5"/>
  <c r="AA49" i="5"/>
  <c r="AA50" i="5"/>
  <c r="BK12" i="5"/>
  <c r="BK50" i="5"/>
  <c r="AY50" i="5" s="1"/>
  <c r="BJ12" i="5"/>
  <c r="BJ50" i="5"/>
  <c r="BI12" i="5"/>
  <c r="BI40" i="5"/>
  <c r="BI50" i="5"/>
  <c r="BH12" i="5"/>
  <c r="BH36" i="5"/>
  <c r="BH37" i="5"/>
  <c r="BH38" i="5"/>
  <c r="BH39" i="5"/>
  <c r="BH40" i="5"/>
  <c r="BH50" i="5"/>
  <c r="BG12" i="5"/>
  <c r="BG36" i="5"/>
  <c r="BG37" i="5"/>
  <c r="BG38" i="5"/>
  <c r="BG39" i="5"/>
  <c r="BG40" i="5"/>
  <c r="BG50" i="5"/>
  <c r="BF12" i="5"/>
  <c r="BF36" i="5"/>
  <c r="BF37" i="5"/>
  <c r="BF38" i="5"/>
  <c r="BF39" i="5"/>
  <c r="BF40" i="5"/>
  <c r="BF50" i="5"/>
  <c r="BE12" i="5"/>
  <c r="BE34" i="5"/>
  <c r="BE35" i="5"/>
  <c r="BE36" i="5"/>
  <c r="BE37" i="5"/>
  <c r="BE38" i="5"/>
  <c r="BE39" i="5"/>
  <c r="BE40" i="5"/>
  <c r="BE44" i="5"/>
  <c r="BE49" i="5"/>
  <c r="BE50" i="5"/>
  <c r="BD12" i="5"/>
  <c r="BD31" i="5"/>
  <c r="BD32" i="5"/>
  <c r="BD33" i="5"/>
  <c r="BD34" i="5"/>
  <c r="BD35" i="5"/>
  <c r="BD36" i="5"/>
  <c r="BD37" i="5"/>
  <c r="BD38" i="5"/>
  <c r="BD39" i="5"/>
  <c r="BD40" i="5"/>
  <c r="BD50" i="5"/>
  <c r="BC12" i="5"/>
  <c r="AY16" i="5"/>
  <c r="AY20" i="5"/>
  <c r="AY24" i="5"/>
  <c r="AY28" i="5"/>
  <c r="BC31" i="5"/>
  <c r="BC32" i="5"/>
  <c r="AY32" i="5" s="1"/>
  <c r="BC33" i="5"/>
  <c r="BC34" i="5"/>
  <c r="BC35" i="5"/>
  <c r="BC36" i="5"/>
  <c r="AY36" i="5" s="1"/>
  <c r="BC37" i="5"/>
  <c r="BC38" i="5"/>
  <c r="BC39" i="5"/>
  <c r="BC40" i="5"/>
  <c r="AY40" i="5" s="1"/>
  <c r="BC50" i="5"/>
  <c r="BB12" i="5"/>
  <c r="BB30" i="5"/>
  <c r="BB31" i="5"/>
  <c r="BB32" i="5"/>
  <c r="BB33" i="5"/>
  <c r="BB34" i="5"/>
  <c r="BB35" i="5"/>
  <c r="BB36" i="5"/>
  <c r="BB37" i="5"/>
  <c r="BB38" i="5"/>
  <c r="BB39" i="5"/>
  <c r="BB40" i="5"/>
  <c r="BB44" i="5"/>
  <c r="BB49" i="5"/>
  <c r="BB50" i="5"/>
  <c r="AY14" i="5"/>
  <c r="AY18" i="5"/>
  <c r="AY22" i="5"/>
  <c r="AY26" i="5"/>
  <c r="BA29" i="5"/>
  <c r="BA30" i="5"/>
  <c r="AY30" i="5" s="1"/>
  <c r="BA31" i="5"/>
  <c r="BA32" i="5"/>
  <c r="BA33" i="5"/>
  <c r="BA34" i="5"/>
  <c r="AY34" i="5" s="1"/>
  <c r="BA35" i="5"/>
  <c r="BA36" i="5"/>
  <c r="BA37" i="5"/>
  <c r="BA38" i="5"/>
  <c r="AY38" i="5" s="1"/>
  <c r="BA39" i="5"/>
  <c r="BA40" i="5"/>
  <c r="BA50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9" i="5"/>
  <c r="AZ50" i="5"/>
  <c r="AY13" i="5"/>
  <c r="AY15" i="5"/>
  <c r="AY17" i="5"/>
  <c r="AY19" i="5"/>
  <c r="AY21" i="5"/>
  <c r="AY23" i="5"/>
  <c r="AY25" i="5"/>
  <c r="AY27" i="5"/>
  <c r="AY29" i="5"/>
  <c r="AY31" i="5"/>
  <c r="AY33" i="5"/>
  <c r="AY35" i="5"/>
  <c r="AY37" i="5"/>
  <c r="AY39" i="5"/>
  <c r="N55" i="5"/>
  <c r="Q52" i="5"/>
  <c r="R52" i="5"/>
  <c r="X52" i="5" s="1"/>
  <c r="AE12" i="8"/>
  <c r="AE13" i="8"/>
  <c r="AE14" i="8"/>
  <c r="AE15" i="8"/>
  <c r="AE16" i="8"/>
  <c r="AE17" i="8"/>
  <c r="AE18" i="8"/>
  <c r="AE19" i="8"/>
  <c r="AE20" i="8"/>
  <c r="AE21" i="8"/>
  <c r="AE22" i="8"/>
  <c r="AE24" i="8"/>
  <c r="AE25" i="8"/>
  <c r="AE27" i="8"/>
  <c r="AE29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4" i="8"/>
  <c r="AE46" i="8"/>
  <c r="AE47" i="8"/>
  <c r="AE48" i="8"/>
  <c r="AE50" i="8"/>
  <c r="AE52" i="8"/>
  <c r="AE53" i="8"/>
  <c r="AE54" i="8"/>
  <c r="AE55" i="8"/>
  <c r="AE56" i="8"/>
  <c r="AE57" i="8"/>
  <c r="AE59" i="8"/>
  <c r="AC29" i="8"/>
  <c r="AC44" i="8"/>
  <c r="AC50" i="8"/>
  <c r="AC59" i="8"/>
  <c r="X12" i="8"/>
  <c r="X13" i="8"/>
  <c r="X14" i="8"/>
  <c r="X15" i="8"/>
  <c r="X16" i="8"/>
  <c r="X17" i="8"/>
  <c r="X18" i="8"/>
  <c r="X19" i="8"/>
  <c r="X20" i="8"/>
  <c r="X21" i="8"/>
  <c r="X22" i="8"/>
  <c r="X24" i="8"/>
  <c r="X25" i="8"/>
  <c r="X27" i="8"/>
  <c r="X29" i="8"/>
  <c r="X31" i="8"/>
  <c r="X32" i="8"/>
  <c r="X33" i="8"/>
  <c r="X34" i="8"/>
  <c r="X35" i="8"/>
  <c r="X36" i="8"/>
  <c r="X37" i="8"/>
  <c r="X38" i="8"/>
  <c r="X39" i="8"/>
  <c r="X40" i="8"/>
  <c r="X41" i="8"/>
  <c r="X42" i="8"/>
  <c r="X44" i="8"/>
  <c r="X46" i="8"/>
  <c r="X47" i="8"/>
  <c r="X48" i="8"/>
  <c r="X50" i="8"/>
  <c r="X59" i="8"/>
  <c r="Z12" i="8"/>
  <c r="Z13" i="8"/>
  <c r="Z14" i="8"/>
  <c r="Z15" i="8"/>
  <c r="Z16" i="8"/>
  <c r="Z17" i="8"/>
  <c r="Z18" i="8"/>
  <c r="Z19" i="8"/>
  <c r="Z20" i="8"/>
  <c r="Z21" i="8"/>
  <c r="Z22" i="8"/>
  <c r="Z24" i="8"/>
  <c r="Z25" i="8"/>
  <c r="Z27" i="8"/>
  <c r="Z29" i="8"/>
  <c r="Z31" i="8"/>
  <c r="Z32" i="8"/>
  <c r="Z33" i="8"/>
  <c r="Z34" i="8"/>
  <c r="Z35" i="8"/>
  <c r="Z36" i="8"/>
  <c r="Z37" i="8"/>
  <c r="Z38" i="8"/>
  <c r="Z39" i="8"/>
  <c r="Z40" i="8"/>
  <c r="Z41" i="8"/>
  <c r="Z42" i="8"/>
  <c r="Z44" i="8"/>
  <c r="Z46" i="8"/>
  <c r="Z47" i="8"/>
  <c r="Z48" i="8"/>
  <c r="Z50" i="8"/>
  <c r="Z59" i="8"/>
  <c r="Y29" i="8"/>
  <c r="Y44" i="8"/>
  <c r="Y50" i="8"/>
  <c r="Y59" i="8"/>
  <c r="U29" i="8"/>
  <c r="U44" i="8"/>
  <c r="U50" i="8"/>
  <c r="U59" i="8"/>
  <c r="U71" i="8"/>
  <c r="BH65" i="8"/>
  <c r="BH12" i="8"/>
  <c r="BH13" i="8"/>
  <c r="BH14" i="8"/>
  <c r="BH15" i="8"/>
  <c r="BH16" i="8"/>
  <c r="BH17" i="8"/>
  <c r="BH18" i="8"/>
  <c r="BH19" i="8"/>
  <c r="BH20" i="8"/>
  <c r="BH24" i="8"/>
  <c r="BH25" i="8"/>
  <c r="BH27" i="8"/>
  <c r="BH29" i="8"/>
  <c r="BH71" i="8" s="1"/>
  <c r="Q16" i="9" s="1"/>
  <c r="BH31" i="8"/>
  <c r="BH32" i="8"/>
  <c r="BH33" i="8"/>
  <c r="BH34" i="8"/>
  <c r="BH35" i="8"/>
  <c r="BH36" i="8"/>
  <c r="BH37" i="8"/>
  <c r="BH38" i="8"/>
  <c r="BH39" i="8"/>
  <c r="BH40" i="8"/>
  <c r="BH41" i="8"/>
  <c r="BH42" i="8"/>
  <c r="BH44" i="8"/>
  <c r="BH46" i="8"/>
  <c r="BH47" i="8"/>
  <c r="BH48" i="8"/>
  <c r="BH50" i="8"/>
  <c r="BH52" i="8"/>
  <c r="BH53" i="8"/>
  <c r="BH54" i="8"/>
  <c r="BH55" i="8"/>
  <c r="BH56" i="8"/>
  <c r="BH57" i="8"/>
  <c r="BH59" i="8"/>
  <c r="BG65" i="8"/>
  <c r="BG12" i="8"/>
  <c r="BG13" i="8"/>
  <c r="BG14" i="8"/>
  <c r="BG15" i="8"/>
  <c r="BG16" i="8"/>
  <c r="BG17" i="8"/>
  <c r="BG18" i="8"/>
  <c r="BG19" i="8"/>
  <c r="BG20" i="8"/>
  <c r="BG24" i="8"/>
  <c r="BG25" i="8"/>
  <c r="BG27" i="8"/>
  <c r="BG29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4" i="8"/>
  <c r="BG46" i="8"/>
  <c r="BG47" i="8"/>
  <c r="BG48" i="8"/>
  <c r="BG50" i="8"/>
  <c r="BG52" i="8"/>
  <c r="BG53" i="8"/>
  <c r="BG54" i="8"/>
  <c r="BG55" i="8"/>
  <c r="BG56" i="8"/>
  <c r="BG57" i="8"/>
  <c r="BG59" i="8"/>
  <c r="BG71" i="8"/>
  <c r="BF65" i="8"/>
  <c r="BF12" i="8"/>
  <c r="BF13" i="8"/>
  <c r="BF14" i="8"/>
  <c r="BF15" i="8"/>
  <c r="BF16" i="8"/>
  <c r="BF17" i="8"/>
  <c r="BF18" i="8"/>
  <c r="BF19" i="8"/>
  <c r="BF20" i="8"/>
  <c r="BF24" i="8"/>
  <c r="BF25" i="8"/>
  <c r="BF27" i="8"/>
  <c r="BF29" i="8"/>
  <c r="BF71" i="8" s="1"/>
  <c r="O16" i="9" s="1"/>
  <c r="BF31" i="8"/>
  <c r="BF32" i="8"/>
  <c r="BF33" i="8"/>
  <c r="BF34" i="8"/>
  <c r="BF35" i="8"/>
  <c r="BF36" i="8"/>
  <c r="BF37" i="8"/>
  <c r="BF38" i="8"/>
  <c r="BF39" i="8"/>
  <c r="BF40" i="8"/>
  <c r="BF41" i="8"/>
  <c r="BF42" i="8"/>
  <c r="BF44" i="8"/>
  <c r="BF46" i="8"/>
  <c r="BF47" i="8"/>
  <c r="BF48" i="8"/>
  <c r="BF50" i="8"/>
  <c r="BF52" i="8"/>
  <c r="BF53" i="8"/>
  <c r="BF54" i="8"/>
  <c r="BF55" i="8"/>
  <c r="BF56" i="8"/>
  <c r="BF57" i="8"/>
  <c r="BF59" i="8"/>
  <c r="BE65" i="8"/>
  <c r="BE12" i="8"/>
  <c r="BE13" i="8"/>
  <c r="BE14" i="8"/>
  <c r="BE15" i="8"/>
  <c r="BE16" i="8"/>
  <c r="BE17" i="8"/>
  <c r="BE18" i="8"/>
  <c r="BE19" i="8"/>
  <c r="BE20" i="8"/>
  <c r="BE24" i="8"/>
  <c r="BE25" i="8"/>
  <c r="BE27" i="8"/>
  <c r="BE29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4" i="8"/>
  <c r="BE46" i="8"/>
  <c r="BE47" i="8"/>
  <c r="BE48" i="8"/>
  <c r="BE50" i="8"/>
  <c r="BE52" i="8"/>
  <c r="BE53" i="8"/>
  <c r="BE54" i="8"/>
  <c r="BE55" i="8"/>
  <c r="BE56" i="8"/>
  <c r="BE57" i="8"/>
  <c r="BE59" i="8"/>
  <c r="BD65" i="8"/>
  <c r="BD71" i="8" s="1"/>
  <c r="M16" i="9" s="1"/>
  <c r="BD12" i="8"/>
  <c r="BD13" i="8"/>
  <c r="BD14" i="8"/>
  <c r="BD15" i="8"/>
  <c r="BD16" i="8"/>
  <c r="BD17" i="8"/>
  <c r="BD18" i="8"/>
  <c r="BD19" i="8"/>
  <c r="BD20" i="8"/>
  <c r="BD24" i="8"/>
  <c r="BD25" i="8"/>
  <c r="BD27" i="8"/>
  <c r="BD29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4" i="8"/>
  <c r="BD46" i="8"/>
  <c r="BD47" i="8"/>
  <c r="BD48" i="8"/>
  <c r="BD50" i="8"/>
  <c r="BD52" i="8"/>
  <c r="BD53" i="8"/>
  <c r="BD54" i="8"/>
  <c r="BD55" i="8"/>
  <c r="BD56" i="8"/>
  <c r="BD57" i="8"/>
  <c r="BD59" i="8"/>
  <c r="BC65" i="8"/>
  <c r="BC12" i="8"/>
  <c r="BC13" i="8"/>
  <c r="BC14" i="8"/>
  <c r="BC15" i="8"/>
  <c r="BC16" i="8"/>
  <c r="BC17" i="8"/>
  <c r="BC18" i="8"/>
  <c r="BC19" i="8"/>
  <c r="BC20" i="8"/>
  <c r="BC24" i="8"/>
  <c r="BC25" i="8"/>
  <c r="BC27" i="8"/>
  <c r="BC29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4" i="8"/>
  <c r="BC46" i="8"/>
  <c r="BC47" i="8"/>
  <c r="BC48" i="8"/>
  <c r="BC50" i="8"/>
  <c r="BC52" i="8"/>
  <c r="BC53" i="8"/>
  <c r="BC54" i="8"/>
  <c r="BC55" i="8"/>
  <c r="BC56" i="8"/>
  <c r="BC57" i="8"/>
  <c r="BC59" i="8"/>
  <c r="BB65" i="8"/>
  <c r="BB12" i="8"/>
  <c r="BB13" i="8"/>
  <c r="BB14" i="8"/>
  <c r="BB15" i="8"/>
  <c r="BB16" i="8"/>
  <c r="BB17" i="8"/>
  <c r="BB18" i="8"/>
  <c r="BB19" i="8"/>
  <c r="BB20" i="8"/>
  <c r="BB24" i="8"/>
  <c r="BB25" i="8"/>
  <c r="BB27" i="8"/>
  <c r="BB29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4" i="8"/>
  <c r="BB46" i="8"/>
  <c r="BB47" i="8"/>
  <c r="BB48" i="8"/>
  <c r="BB50" i="8"/>
  <c r="BB52" i="8"/>
  <c r="BB53" i="8"/>
  <c r="BB54" i="8"/>
  <c r="BB55" i="8"/>
  <c r="BB56" i="8"/>
  <c r="BB57" i="8"/>
  <c r="BB59" i="8"/>
  <c r="BA65" i="8"/>
  <c r="BA12" i="8"/>
  <c r="BA13" i="8"/>
  <c r="BA14" i="8"/>
  <c r="BA15" i="8"/>
  <c r="BA16" i="8"/>
  <c r="BA17" i="8"/>
  <c r="BA18" i="8"/>
  <c r="BA19" i="8"/>
  <c r="BA20" i="8"/>
  <c r="BA24" i="8"/>
  <c r="BA25" i="8"/>
  <c r="BA27" i="8"/>
  <c r="BA29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4" i="8"/>
  <c r="BA46" i="8"/>
  <c r="BA47" i="8"/>
  <c r="BA48" i="8"/>
  <c r="BA50" i="8"/>
  <c r="BA52" i="8"/>
  <c r="BA53" i="8"/>
  <c r="BA54" i="8"/>
  <c r="BA55" i="8"/>
  <c r="BA56" i="8"/>
  <c r="BA57" i="8"/>
  <c r="BA59" i="8"/>
  <c r="BA71" i="8"/>
  <c r="J16" i="9" s="1"/>
  <c r="AZ65" i="8"/>
  <c r="AZ12" i="8"/>
  <c r="AZ13" i="8"/>
  <c r="AZ14" i="8"/>
  <c r="AZ15" i="8"/>
  <c r="AZ16" i="8"/>
  <c r="AZ17" i="8"/>
  <c r="AZ18" i="8"/>
  <c r="AZ22" i="8"/>
  <c r="AZ24" i="8"/>
  <c r="AZ25" i="8"/>
  <c r="AZ27" i="8"/>
  <c r="AZ29" i="8"/>
  <c r="AZ71" i="8" s="1"/>
  <c r="I16" i="9" s="1"/>
  <c r="AZ31" i="8"/>
  <c r="AZ32" i="8"/>
  <c r="AZ33" i="8"/>
  <c r="AZ34" i="8"/>
  <c r="AZ35" i="8"/>
  <c r="AZ36" i="8"/>
  <c r="AZ37" i="8"/>
  <c r="AZ38" i="8"/>
  <c r="AZ39" i="8"/>
  <c r="AZ40" i="8"/>
  <c r="AZ41" i="8"/>
  <c r="AZ42" i="8"/>
  <c r="AZ44" i="8"/>
  <c r="AZ46" i="8"/>
  <c r="AZ47" i="8"/>
  <c r="AZ48" i="8"/>
  <c r="AZ50" i="8"/>
  <c r="AZ52" i="8"/>
  <c r="AZ53" i="8"/>
  <c r="AZ54" i="8"/>
  <c r="AZ55" i="8"/>
  <c r="AZ56" i="8"/>
  <c r="AZ57" i="8"/>
  <c r="AZ59" i="8"/>
  <c r="AY65" i="8"/>
  <c r="AY12" i="8"/>
  <c r="AY13" i="8"/>
  <c r="AY14" i="8"/>
  <c r="AY15" i="8"/>
  <c r="AY16" i="8"/>
  <c r="AY17" i="8"/>
  <c r="AY18" i="8"/>
  <c r="AY22" i="8"/>
  <c r="AY24" i="8"/>
  <c r="AY25" i="8"/>
  <c r="AY27" i="8"/>
  <c r="AY29" i="8"/>
  <c r="AY71" i="8" s="1"/>
  <c r="H16" i="9" s="1"/>
  <c r="AY31" i="8"/>
  <c r="AY32" i="8"/>
  <c r="AY33" i="8"/>
  <c r="AY34" i="8"/>
  <c r="AY35" i="8"/>
  <c r="AY36" i="8"/>
  <c r="AY37" i="8"/>
  <c r="AY38" i="8"/>
  <c r="AY39" i="8"/>
  <c r="AY40" i="8"/>
  <c r="AY41" i="8"/>
  <c r="AY42" i="8"/>
  <c r="AY44" i="8"/>
  <c r="AY46" i="8"/>
  <c r="AY47" i="8"/>
  <c r="AY48" i="8"/>
  <c r="AY50" i="8"/>
  <c r="AY52" i="8"/>
  <c r="AY53" i="8"/>
  <c r="AY54" i="8"/>
  <c r="AY55" i="8"/>
  <c r="AY56" i="8"/>
  <c r="AY57" i="8"/>
  <c r="AY59" i="8"/>
  <c r="AX65" i="8"/>
  <c r="AX12" i="8"/>
  <c r="AX13" i="8"/>
  <c r="AX14" i="8"/>
  <c r="AX15" i="8"/>
  <c r="AX16" i="8"/>
  <c r="AX17" i="8"/>
  <c r="AX18" i="8"/>
  <c r="AX22" i="8"/>
  <c r="AX24" i="8"/>
  <c r="AX25" i="8"/>
  <c r="AX27" i="8"/>
  <c r="AX29" i="8"/>
  <c r="AX71" i="8" s="1"/>
  <c r="G16" i="9" s="1"/>
  <c r="AX31" i="8"/>
  <c r="AX32" i="8"/>
  <c r="AX33" i="8"/>
  <c r="AX34" i="8"/>
  <c r="AX35" i="8"/>
  <c r="AX36" i="8"/>
  <c r="AX37" i="8"/>
  <c r="AX38" i="8"/>
  <c r="AX39" i="8"/>
  <c r="AX40" i="8"/>
  <c r="AX41" i="8"/>
  <c r="AX42" i="8"/>
  <c r="AX44" i="8"/>
  <c r="AX46" i="8"/>
  <c r="AX47" i="8"/>
  <c r="AX48" i="8"/>
  <c r="AX50" i="8"/>
  <c r="AX52" i="8"/>
  <c r="AX53" i="8"/>
  <c r="AX54" i="8"/>
  <c r="AX55" i="8"/>
  <c r="AX56" i="8"/>
  <c r="AX57" i="8"/>
  <c r="AX59" i="8"/>
  <c r="AW65" i="8"/>
  <c r="AW12" i="8"/>
  <c r="AW13" i="8"/>
  <c r="AW14" i="8"/>
  <c r="AW15" i="8"/>
  <c r="AW16" i="8"/>
  <c r="AW17" i="8"/>
  <c r="AW18" i="8"/>
  <c r="AW22" i="8"/>
  <c r="AW24" i="8"/>
  <c r="AW25" i="8"/>
  <c r="AW27" i="8"/>
  <c r="AW29" i="8"/>
  <c r="AW71" i="8" s="1"/>
  <c r="F16" i="9" s="1"/>
  <c r="AW31" i="8"/>
  <c r="AW32" i="8"/>
  <c r="AW33" i="8"/>
  <c r="AW34" i="8"/>
  <c r="AW35" i="8"/>
  <c r="AW36" i="8"/>
  <c r="AW37" i="8"/>
  <c r="AW38" i="8"/>
  <c r="AW39" i="8"/>
  <c r="AW40" i="8"/>
  <c r="AW41" i="8"/>
  <c r="AW42" i="8"/>
  <c r="AW44" i="8"/>
  <c r="AW46" i="8"/>
  <c r="AW47" i="8"/>
  <c r="AW48" i="8"/>
  <c r="AW50" i="8"/>
  <c r="AW52" i="8"/>
  <c r="AW53" i="8"/>
  <c r="AW54" i="8"/>
  <c r="AW55" i="8"/>
  <c r="AW56" i="8"/>
  <c r="AW57" i="8"/>
  <c r="AW59" i="8"/>
  <c r="AV61" i="8"/>
  <c r="AV65" i="8"/>
  <c r="AV12" i="8"/>
  <c r="AV13" i="8"/>
  <c r="AV14" i="8"/>
  <c r="AV15" i="8"/>
  <c r="AV16" i="8"/>
  <c r="AV17" i="8"/>
  <c r="AV18" i="8"/>
  <c r="AV19" i="8"/>
  <c r="AV20" i="8"/>
  <c r="AV21" i="8"/>
  <c r="AV22" i="8"/>
  <c r="AV24" i="8"/>
  <c r="AV25" i="8"/>
  <c r="AV27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4" i="8"/>
  <c r="AV46" i="8"/>
  <c r="AV47" i="8"/>
  <c r="AV48" i="8"/>
  <c r="AV50" i="8"/>
  <c r="AV52" i="8"/>
  <c r="AV53" i="8"/>
  <c r="AV54" i="8"/>
  <c r="AV55" i="8"/>
  <c r="AV56" i="8"/>
  <c r="AV57" i="8"/>
  <c r="AV59" i="8"/>
  <c r="AU65" i="8"/>
  <c r="AU71" i="8"/>
  <c r="AI65" i="8"/>
  <c r="AI29" i="8"/>
  <c r="AI44" i="8"/>
  <c r="AI50" i="8"/>
  <c r="AI59" i="8"/>
  <c r="N29" i="8"/>
  <c r="N44" i="8"/>
  <c r="N50" i="8"/>
  <c r="N59" i="8"/>
  <c r="N71" i="8"/>
  <c r="AG61" i="8"/>
  <c r="T61" i="8"/>
  <c r="S61" i="8"/>
  <c r="Q186" i="7"/>
  <c r="S186" i="7" s="1"/>
  <c r="R186" i="7"/>
  <c r="Q185" i="7"/>
  <c r="S185" i="7" s="1"/>
  <c r="R185" i="7"/>
  <c r="Q184" i="7"/>
  <c r="S184" i="7" s="1"/>
  <c r="R184" i="7"/>
  <c r="Q183" i="7"/>
  <c r="R183" i="7"/>
  <c r="BE129" i="7"/>
  <c r="BB166" i="7"/>
  <c r="BA129" i="7"/>
  <c r="BA166" i="7"/>
  <c r="AZ166" i="7"/>
  <c r="AY166" i="7"/>
  <c r="AY178" i="7"/>
  <c r="AX166" i="7"/>
  <c r="AX178" i="7"/>
  <c r="AW166" i="7"/>
  <c r="X166" i="7"/>
  <c r="N162" i="7"/>
  <c r="N171" i="7"/>
  <c r="N181" i="7"/>
  <c r="N193" i="7"/>
  <c r="BL12" i="4"/>
  <c r="BL13" i="4"/>
  <c r="BL14" i="4"/>
  <c r="BL15" i="4"/>
  <c r="BL16" i="4"/>
  <c r="BL17" i="4"/>
  <c r="BK12" i="4"/>
  <c r="BK13" i="4"/>
  <c r="BK14" i="4"/>
  <c r="BK15" i="4"/>
  <c r="BK16" i="4"/>
  <c r="BK17" i="4"/>
  <c r="BJ12" i="4"/>
  <c r="BJ13" i="4"/>
  <c r="BJ14" i="4"/>
  <c r="BJ15" i="4"/>
  <c r="BJ16" i="4"/>
  <c r="BJ17" i="4"/>
  <c r="BI12" i="4"/>
  <c r="BI13" i="4"/>
  <c r="BI14" i="4"/>
  <c r="BI15" i="4"/>
  <c r="BI16" i="4"/>
  <c r="BI17" i="4"/>
  <c r="BH12" i="4"/>
  <c r="BH13" i="4"/>
  <c r="BH14" i="4"/>
  <c r="BH15" i="4"/>
  <c r="BH16" i="4"/>
  <c r="BH17" i="4"/>
  <c r="BH27" i="4"/>
  <c r="BG12" i="4"/>
  <c r="BG13" i="4"/>
  <c r="BG14" i="4"/>
  <c r="BG15" i="4"/>
  <c r="BG16" i="4"/>
  <c r="BG17" i="4"/>
  <c r="BG27" i="4"/>
  <c r="BF12" i="4"/>
  <c r="BF13" i="4"/>
  <c r="BF14" i="4"/>
  <c r="BF15" i="4"/>
  <c r="BF16" i="4"/>
  <c r="BF17" i="4"/>
  <c r="BF27" i="4"/>
  <c r="BE12" i="4"/>
  <c r="BE13" i="4"/>
  <c r="BE14" i="4"/>
  <c r="BE15" i="4"/>
  <c r="BE16" i="4"/>
  <c r="BE17" i="4"/>
  <c r="BD12" i="4"/>
  <c r="BD13" i="4"/>
  <c r="BD14" i="4"/>
  <c r="BD15" i="4"/>
  <c r="BD16" i="4"/>
  <c r="BD17" i="4"/>
  <c r="BC12" i="4"/>
  <c r="BC13" i="4"/>
  <c r="BC14" i="4"/>
  <c r="BC15" i="4"/>
  <c r="BC16" i="4"/>
  <c r="BC17" i="4"/>
  <c r="BB12" i="4"/>
  <c r="BB13" i="4"/>
  <c r="BB14" i="4"/>
  <c r="BB15" i="4"/>
  <c r="BB16" i="4"/>
  <c r="BB17" i="4"/>
  <c r="BA12" i="4"/>
  <c r="AZ12" i="4" s="1"/>
  <c r="BA13" i="4"/>
  <c r="BA14" i="4"/>
  <c r="BA15" i="4"/>
  <c r="BA16" i="4"/>
  <c r="BA17" i="4"/>
  <c r="L55" i="4"/>
  <c r="L67" i="4" s="1"/>
  <c r="L57" i="4"/>
  <c r="L58" i="4"/>
  <c r="L62" i="4" s="1"/>
  <c r="L59" i="4"/>
  <c r="AZ18" i="4"/>
  <c r="AJ37" i="4"/>
  <c r="AO37" i="4" s="1"/>
  <c r="T37" i="4"/>
  <c r="W37" i="4" s="1"/>
  <c r="U37" i="4"/>
  <c r="V37" i="4"/>
  <c r="AG39" i="8"/>
  <c r="AG31" i="8"/>
  <c r="AG27" i="8"/>
  <c r="AG21" i="8"/>
  <c r="AG56" i="8"/>
  <c r="AG55" i="8"/>
  <c r="AG52" i="8"/>
  <c r="AG47" i="8"/>
  <c r="AG46" i="8"/>
  <c r="AG42" i="8"/>
  <c r="AG40" i="8"/>
  <c r="AG38" i="8"/>
  <c r="AG36" i="8"/>
  <c r="AG34" i="8"/>
  <c r="AG25" i="8"/>
  <c r="AG20" i="8"/>
  <c r="AD50" i="5"/>
  <c r="AI50" i="5" s="1"/>
  <c r="AD49" i="5"/>
  <c r="AI49" i="5"/>
  <c r="AD47" i="5"/>
  <c r="AI47" i="5" s="1"/>
  <c r="AD46" i="5"/>
  <c r="AI46" i="5"/>
  <c r="AD45" i="5"/>
  <c r="AI45" i="5" s="1"/>
  <c r="AD44" i="5"/>
  <c r="AI44" i="5"/>
  <c r="AD43" i="5"/>
  <c r="AI43" i="5" s="1"/>
  <c r="AD42" i="5"/>
  <c r="AI42" i="5"/>
  <c r="AD40" i="5"/>
  <c r="AI40" i="5" s="1"/>
  <c r="AD39" i="5"/>
  <c r="AI39" i="5"/>
  <c r="AD38" i="5"/>
  <c r="AI38" i="5" s="1"/>
  <c r="AD37" i="5"/>
  <c r="AI37" i="5"/>
  <c r="AD36" i="5"/>
  <c r="AI36" i="5" s="1"/>
  <c r="AD35" i="5"/>
  <c r="AI35" i="5"/>
  <c r="AD34" i="5"/>
  <c r="AI34" i="5" s="1"/>
  <c r="AD33" i="5"/>
  <c r="AI33" i="5"/>
  <c r="AD32" i="5"/>
  <c r="AI32" i="5" s="1"/>
  <c r="AD31" i="5"/>
  <c r="AI31" i="5"/>
  <c r="AD30" i="5"/>
  <c r="AI30" i="5" s="1"/>
  <c r="AD29" i="5"/>
  <c r="AI29" i="5"/>
  <c r="AD28" i="5"/>
  <c r="AI28" i="5" s="1"/>
  <c r="AD27" i="5"/>
  <c r="AI27" i="5"/>
  <c r="AD26" i="5"/>
  <c r="AI26" i="5" s="1"/>
  <c r="AD25" i="5"/>
  <c r="AI25" i="5"/>
  <c r="AD24" i="5"/>
  <c r="AI24" i="5" s="1"/>
  <c r="AD23" i="5"/>
  <c r="AI23" i="5"/>
  <c r="AD22" i="5"/>
  <c r="AI22" i="5" s="1"/>
  <c r="AD21" i="5"/>
  <c r="AI21" i="5"/>
  <c r="AD20" i="5"/>
  <c r="AI20" i="5" s="1"/>
  <c r="AD19" i="5"/>
  <c r="AI19" i="5"/>
  <c r="AD18" i="5"/>
  <c r="AI18" i="5" s="1"/>
  <c r="AD17" i="5"/>
  <c r="AI17" i="5"/>
  <c r="AD16" i="5"/>
  <c r="AI16" i="5" s="1"/>
  <c r="AD15" i="5"/>
  <c r="AI15" i="5"/>
  <c r="AD14" i="5"/>
  <c r="AI14" i="5" s="1"/>
  <c r="AD13" i="5"/>
  <c r="AI13" i="5"/>
  <c r="AD12" i="5"/>
  <c r="AI12" i="5" s="1"/>
  <c r="AE29" i="4"/>
  <c r="AJ29" i="4" s="1"/>
  <c r="AO29" i="4" s="1"/>
  <c r="AG54" i="8"/>
  <c r="AG35" i="8"/>
  <c r="AG17" i="8"/>
  <c r="AG18" i="8"/>
  <c r="AG22" i="8"/>
  <c r="AG32" i="8"/>
  <c r="AG48" i="8"/>
  <c r="AG19" i="8"/>
  <c r="AG24" i="8"/>
  <c r="AG33" i="8"/>
  <c r="AG37" i="8"/>
  <c r="AG41" i="8"/>
  <c r="AG53" i="8"/>
  <c r="AG57" i="8"/>
  <c r="AE60" i="4"/>
  <c r="AJ60" i="4" s="1"/>
  <c r="AE56" i="4"/>
  <c r="AJ56" i="4" s="1"/>
  <c r="AE32" i="4"/>
  <c r="AJ32" i="4" s="1"/>
  <c r="AO32" i="4" s="1"/>
  <c r="AE31" i="4"/>
  <c r="AJ31" i="4" s="1"/>
  <c r="AO31" i="4" s="1"/>
  <c r="AE30" i="4"/>
  <c r="AJ30" i="4" s="1"/>
  <c r="AO30" i="4" s="1"/>
  <c r="AE27" i="4"/>
  <c r="AJ27" i="4" s="1"/>
  <c r="AO27" i="4" s="1"/>
  <c r="AE26" i="4"/>
  <c r="AJ26" i="4" s="1"/>
  <c r="AO26" i="4" s="1"/>
  <c r="AE25" i="4"/>
  <c r="AJ25" i="4" s="1"/>
  <c r="AO25" i="4" s="1"/>
  <c r="AE24" i="4"/>
  <c r="AJ24" i="4" s="1"/>
  <c r="AO24" i="4" s="1"/>
  <c r="AE23" i="4"/>
  <c r="AJ23" i="4" s="1"/>
  <c r="AO23" i="4" s="1"/>
  <c r="AE22" i="4"/>
  <c r="AJ22" i="4" s="1"/>
  <c r="AO22" i="4" s="1"/>
  <c r="AE21" i="4"/>
  <c r="AJ21" i="4" s="1"/>
  <c r="AO21" i="4" s="1"/>
  <c r="AE20" i="4"/>
  <c r="AJ20" i="4" s="1"/>
  <c r="AO20" i="4" s="1"/>
  <c r="AE18" i="4"/>
  <c r="AJ18" i="4"/>
  <c r="AO18" i="4" s="1"/>
  <c r="T57" i="8"/>
  <c r="S57" i="8"/>
  <c r="R179" i="7"/>
  <c r="Q179" i="7"/>
  <c r="S179" i="7" s="1"/>
  <c r="R178" i="7"/>
  <c r="Q178" i="7"/>
  <c r="T56" i="8"/>
  <c r="S56" i="8"/>
  <c r="T55" i="8"/>
  <c r="S55" i="8"/>
  <c r="R177" i="7"/>
  <c r="Q177" i="7"/>
  <c r="R176" i="7"/>
  <c r="Q176" i="7"/>
  <c r="R175" i="7"/>
  <c r="Q175" i="7"/>
  <c r="S175" i="7" s="1"/>
  <c r="N31" i="6"/>
  <c r="R174" i="7"/>
  <c r="Q174" i="7"/>
  <c r="S174" i="7" s="1"/>
  <c r="T54" i="8"/>
  <c r="S54" i="8"/>
  <c r="S177" i="7"/>
  <c r="K62" i="4"/>
  <c r="J62" i="4"/>
  <c r="I62" i="4"/>
  <c r="U60" i="4"/>
  <c r="T60" i="4"/>
  <c r="V60" i="4"/>
  <c r="U59" i="4"/>
  <c r="T59" i="4"/>
  <c r="V59" i="4" s="1"/>
  <c r="R59" i="4"/>
  <c r="S59" i="4" s="1"/>
  <c r="Y59" i="4" s="1"/>
  <c r="U58" i="4"/>
  <c r="T58" i="4"/>
  <c r="V58" i="4"/>
  <c r="R58" i="4"/>
  <c r="S58" i="4"/>
  <c r="U57" i="4"/>
  <c r="T57" i="4"/>
  <c r="V57" i="4" s="1"/>
  <c r="R57" i="4"/>
  <c r="S57" i="4" s="1"/>
  <c r="Y57" i="4" s="1"/>
  <c r="U56" i="4"/>
  <c r="T56" i="4"/>
  <c r="V56" i="4"/>
  <c r="U55" i="4"/>
  <c r="T55" i="4"/>
  <c r="V55" i="4" s="1"/>
  <c r="R55" i="4"/>
  <c r="S55" i="4" s="1"/>
  <c r="Y55" i="4" s="1"/>
  <c r="O58" i="4"/>
  <c r="AD58" i="4" s="1"/>
  <c r="O59" i="4"/>
  <c r="O57" i="4"/>
  <c r="W56" i="4"/>
  <c r="W58" i="4"/>
  <c r="W59" i="4"/>
  <c r="O55" i="4"/>
  <c r="W60" i="4"/>
  <c r="AD59" i="4"/>
  <c r="AD57" i="4"/>
  <c r="AD60" i="4"/>
  <c r="AD56" i="4"/>
  <c r="R173" i="7"/>
  <c r="Q173" i="7"/>
  <c r="S173" i="7" s="1"/>
  <c r="T53" i="8"/>
  <c r="S53" i="8"/>
  <c r="T52" i="8"/>
  <c r="S52" i="8"/>
  <c r="I22" i="9"/>
  <c r="AC67" i="4"/>
  <c r="AC62" i="4"/>
  <c r="AD55" i="4"/>
  <c r="R169" i="7"/>
  <c r="Q169" i="7"/>
  <c r="S169" i="7" s="1"/>
  <c r="R168" i="7"/>
  <c r="Q168" i="7"/>
  <c r="S168" i="7" s="1"/>
  <c r="U32" i="4"/>
  <c r="T32" i="4"/>
  <c r="V32" i="4" s="1"/>
  <c r="T168" i="7"/>
  <c r="W32" i="4"/>
  <c r="T48" i="8"/>
  <c r="S48" i="8"/>
  <c r="U31" i="4"/>
  <c r="T31" i="4"/>
  <c r="V31" i="4" s="1"/>
  <c r="U30" i="4"/>
  <c r="T30" i="4"/>
  <c r="V30" i="4"/>
  <c r="T47" i="8"/>
  <c r="S47" i="8"/>
  <c r="R167" i="7"/>
  <c r="Q167" i="7"/>
  <c r="N24" i="6"/>
  <c r="H20" i="6"/>
  <c r="R166" i="7"/>
  <c r="Q166" i="7"/>
  <c r="U29" i="4"/>
  <c r="T29" i="4"/>
  <c r="V29" i="4" s="1"/>
  <c r="G59" i="5"/>
  <c r="G58" i="5"/>
  <c r="G57" i="5"/>
  <c r="T46" i="8"/>
  <c r="S46" i="8"/>
  <c r="R165" i="7"/>
  <c r="Q165" i="7"/>
  <c r="T165" i="7" s="1"/>
  <c r="R164" i="7"/>
  <c r="Q164" i="7"/>
  <c r="S164" i="7"/>
  <c r="Q160" i="7"/>
  <c r="S160" i="7" s="1"/>
  <c r="R160" i="7"/>
  <c r="T42" i="8"/>
  <c r="S42" i="8"/>
  <c r="T41" i="8"/>
  <c r="S41" i="8"/>
  <c r="R159" i="7"/>
  <c r="Q159" i="7"/>
  <c r="S159" i="7" s="1"/>
  <c r="R158" i="7"/>
  <c r="Q158" i="7"/>
  <c r="S158" i="7" s="1"/>
  <c r="Q157" i="7"/>
  <c r="R157" i="7"/>
  <c r="R156" i="7"/>
  <c r="Q156" i="7"/>
  <c r="R155" i="7"/>
  <c r="Q155" i="7"/>
  <c r="S155" i="7" s="1"/>
  <c r="R154" i="7"/>
  <c r="Q154" i="7"/>
  <c r="S154" i="7" s="1"/>
  <c r="T40" i="8"/>
  <c r="T39" i="8"/>
  <c r="T38" i="8"/>
  <c r="T37" i="8"/>
  <c r="T36" i="8"/>
  <c r="T35" i="8"/>
  <c r="T34" i="8"/>
  <c r="T33" i="8"/>
  <c r="T32" i="8"/>
  <c r="T31" i="8"/>
  <c r="T27" i="8"/>
  <c r="S40" i="8"/>
  <c r="S39" i="8"/>
  <c r="S38" i="8"/>
  <c r="S37" i="8"/>
  <c r="S36" i="8"/>
  <c r="S35" i="8"/>
  <c r="S34" i="8"/>
  <c r="S33" i="8"/>
  <c r="S32" i="8"/>
  <c r="S31" i="8"/>
  <c r="S27" i="8"/>
  <c r="R153" i="7"/>
  <c r="Q153" i="7"/>
  <c r="S153" i="7" s="1"/>
  <c r="R152" i="7"/>
  <c r="Q152" i="7"/>
  <c r="S152" i="7" s="1"/>
  <c r="R151" i="7"/>
  <c r="Q151" i="7"/>
  <c r="S151" i="7" s="1"/>
  <c r="R150" i="7"/>
  <c r="Q150" i="7"/>
  <c r="S150" i="7" s="1"/>
  <c r="R149" i="7"/>
  <c r="Q149" i="7"/>
  <c r="Q148" i="7"/>
  <c r="S148" i="7" s="1"/>
  <c r="R148" i="7"/>
  <c r="R147" i="7"/>
  <c r="Q147" i="7"/>
  <c r="S147" i="7" s="1"/>
  <c r="R146" i="7"/>
  <c r="Q146" i="7"/>
  <c r="S146" i="7" s="1"/>
  <c r="R145" i="7"/>
  <c r="Q145" i="7"/>
  <c r="R144" i="7"/>
  <c r="Q144" i="7"/>
  <c r="T167" i="7"/>
  <c r="W30" i="4"/>
  <c r="S167" i="7"/>
  <c r="S166" i="7"/>
  <c r="T164" i="7"/>
  <c r="S149" i="7"/>
  <c r="Z168" i="7"/>
  <c r="Z165" i="7"/>
  <c r="Z169" i="7"/>
  <c r="Z154" i="7"/>
  <c r="Z157" i="7"/>
  <c r="Z158" i="7"/>
  <c r="Z160" i="7"/>
  <c r="Z167" i="7"/>
  <c r="AD32" i="4"/>
  <c r="Z164" i="7"/>
  <c r="Z147" i="7"/>
  <c r="Z148" i="7"/>
  <c r="Z145" i="7"/>
  <c r="Z153" i="7"/>
  <c r="Z156" i="7"/>
  <c r="Z146" i="7"/>
  <c r="Z155" i="7"/>
  <c r="Z159" i="7"/>
  <c r="Z151" i="7"/>
  <c r="Z152" i="7"/>
  <c r="Z150" i="7"/>
  <c r="Z149" i="7"/>
  <c r="AD31" i="4"/>
  <c r="Z166" i="7"/>
  <c r="Y171" i="7"/>
  <c r="R140" i="7"/>
  <c r="Q140" i="7"/>
  <c r="R139" i="7"/>
  <c r="Q139" i="7"/>
  <c r="S139" i="7" s="1"/>
  <c r="Q108" i="7"/>
  <c r="S108" i="7" s="1"/>
  <c r="R138" i="7"/>
  <c r="Q138" i="7"/>
  <c r="R137" i="7"/>
  <c r="Q137" i="7"/>
  <c r="S137" i="7" s="1"/>
  <c r="R136" i="7"/>
  <c r="Q136" i="7"/>
  <c r="S136" i="7" s="1"/>
  <c r="R135" i="7"/>
  <c r="Q135" i="7"/>
  <c r="S135" i="7" s="1"/>
  <c r="R134" i="7"/>
  <c r="Q134" i="7"/>
  <c r="S134" i="7" s="1"/>
  <c r="R25" i="8"/>
  <c r="Q25" i="8"/>
  <c r="S25" i="8"/>
  <c r="R24" i="8"/>
  <c r="Q24" i="8"/>
  <c r="S24" i="8"/>
  <c r="R132" i="7"/>
  <c r="Q132" i="7"/>
  <c r="S132" i="7" s="1"/>
  <c r="R131" i="7"/>
  <c r="Q131" i="7"/>
  <c r="S131" i="7" s="1"/>
  <c r="R130" i="7"/>
  <c r="Q130" i="7"/>
  <c r="S130" i="7"/>
  <c r="R129" i="7"/>
  <c r="Q129" i="7"/>
  <c r="R128" i="7"/>
  <c r="Q128" i="7"/>
  <c r="R127" i="7"/>
  <c r="Q127" i="7"/>
  <c r="S127" i="7" s="1"/>
  <c r="AD30" i="4"/>
  <c r="Z144" i="7"/>
  <c r="Y162" i="7"/>
  <c r="T24" i="8"/>
  <c r="T25" i="8"/>
  <c r="S129" i="7"/>
  <c r="R22" i="8"/>
  <c r="Q22" i="8"/>
  <c r="S22" i="8"/>
  <c r="K22" i="8"/>
  <c r="R21" i="8"/>
  <c r="Q21" i="8"/>
  <c r="R20" i="8"/>
  <c r="Q20" i="8"/>
  <c r="R19" i="8"/>
  <c r="Q19" i="8"/>
  <c r="S19" i="8"/>
  <c r="R18" i="8"/>
  <c r="Q18" i="8"/>
  <c r="S18" i="8"/>
  <c r="R17" i="8"/>
  <c r="Q17" i="8"/>
  <c r="R16" i="8"/>
  <c r="Q16" i="8"/>
  <c r="R15" i="8"/>
  <c r="Q15" i="8"/>
  <c r="S15" i="8"/>
  <c r="R14" i="8"/>
  <c r="Q14" i="8"/>
  <c r="S14" i="8"/>
  <c r="R13" i="8"/>
  <c r="Q13" i="8"/>
  <c r="R12" i="8"/>
  <c r="Q12" i="8"/>
  <c r="S12" i="8"/>
  <c r="N7" i="8"/>
  <c r="R125" i="7"/>
  <c r="Q125" i="7"/>
  <c r="R124" i="7"/>
  <c r="Q124" i="7"/>
  <c r="S124" i="7" s="1"/>
  <c r="R123" i="7"/>
  <c r="Q123" i="7"/>
  <c r="S123" i="7" s="1"/>
  <c r="R122" i="7"/>
  <c r="Q122" i="7"/>
  <c r="S122" i="7" s="1"/>
  <c r="R121" i="7"/>
  <c r="Q121" i="7"/>
  <c r="R120" i="7"/>
  <c r="Q120" i="7"/>
  <c r="S120" i="7" s="1"/>
  <c r="R119" i="7"/>
  <c r="Q119" i="7"/>
  <c r="R118" i="7"/>
  <c r="Q118" i="7"/>
  <c r="S118" i="7"/>
  <c r="R117" i="7"/>
  <c r="Q117" i="7"/>
  <c r="S117" i="7" s="1"/>
  <c r="R116" i="7"/>
  <c r="Q116" i="7"/>
  <c r="R115" i="7"/>
  <c r="Q115" i="7"/>
  <c r="S115" i="7" s="1"/>
  <c r="R114" i="7"/>
  <c r="Q114" i="7"/>
  <c r="S114" i="7" s="1"/>
  <c r="R113" i="7"/>
  <c r="Q113" i="7"/>
  <c r="R112" i="7"/>
  <c r="Q112" i="7"/>
  <c r="R111" i="7"/>
  <c r="Q111" i="7"/>
  <c r="R110" i="7"/>
  <c r="Q110" i="7"/>
  <c r="R109" i="7"/>
  <c r="Q109" i="7"/>
  <c r="R108" i="7"/>
  <c r="T108" i="7" s="1"/>
  <c r="R107" i="7"/>
  <c r="Q107" i="7"/>
  <c r="R106" i="7"/>
  <c r="Q106" i="7"/>
  <c r="S106" i="7" s="1"/>
  <c r="R105" i="7"/>
  <c r="Q105" i="7"/>
  <c r="S105" i="7" s="1"/>
  <c r="R104" i="7"/>
  <c r="Q104" i="7"/>
  <c r="S104" i="7" s="1"/>
  <c r="R103" i="7"/>
  <c r="Q103" i="7"/>
  <c r="S103" i="7" s="1"/>
  <c r="R102" i="7"/>
  <c r="Q102" i="7"/>
  <c r="S102" i="7"/>
  <c r="R101" i="7"/>
  <c r="Q101" i="7"/>
  <c r="S101" i="7" s="1"/>
  <c r="R100" i="7"/>
  <c r="Q100" i="7"/>
  <c r="R99" i="7"/>
  <c r="Q99" i="7"/>
  <c r="S99" i="7" s="1"/>
  <c r="R98" i="7"/>
  <c r="Q98" i="7"/>
  <c r="R97" i="7"/>
  <c r="Q97" i="7"/>
  <c r="S97" i="7" s="1"/>
  <c r="R96" i="7"/>
  <c r="Q96" i="7"/>
  <c r="S96" i="7" s="1"/>
  <c r="R95" i="7"/>
  <c r="Q95" i="7"/>
  <c r="R94" i="7"/>
  <c r="Q94" i="7"/>
  <c r="R93" i="7"/>
  <c r="Q93" i="7"/>
  <c r="S93" i="7" s="1"/>
  <c r="R92" i="7"/>
  <c r="Q92" i="7"/>
  <c r="S92" i="7" s="1"/>
  <c r="R91" i="7"/>
  <c r="Q91" i="7"/>
  <c r="S91" i="7" s="1"/>
  <c r="R90" i="7"/>
  <c r="Q90" i="7"/>
  <c r="S90" i="7" s="1"/>
  <c r="R89" i="7"/>
  <c r="Q89" i="7"/>
  <c r="R88" i="7"/>
  <c r="Q88" i="7"/>
  <c r="S88" i="7" s="1"/>
  <c r="R87" i="7"/>
  <c r="Q87" i="7"/>
  <c r="R86" i="7"/>
  <c r="Q86" i="7"/>
  <c r="T86" i="7" s="1"/>
  <c r="R85" i="7"/>
  <c r="T85" i="7" s="1"/>
  <c r="Q85" i="7"/>
  <c r="S85" i="7" s="1"/>
  <c r="R84" i="7"/>
  <c r="Q84" i="7"/>
  <c r="S84" i="7" s="1"/>
  <c r="R83" i="7"/>
  <c r="Q83" i="7"/>
  <c r="R82" i="7"/>
  <c r="Q82" i="7"/>
  <c r="R81" i="7"/>
  <c r="Q81" i="7"/>
  <c r="S81" i="7" s="1"/>
  <c r="R80" i="7"/>
  <c r="Q80" i="7"/>
  <c r="R79" i="7"/>
  <c r="Q79" i="7"/>
  <c r="S79" i="7" s="1"/>
  <c r="R78" i="7"/>
  <c r="Q78" i="7"/>
  <c r="R77" i="7"/>
  <c r="Q77" i="7"/>
  <c r="R76" i="7"/>
  <c r="Q76" i="7"/>
  <c r="S76" i="7" s="1"/>
  <c r="R75" i="7"/>
  <c r="Q75" i="7"/>
  <c r="R74" i="7"/>
  <c r="Q74" i="7"/>
  <c r="S74" i="7" s="1"/>
  <c r="R73" i="7"/>
  <c r="Q73" i="7"/>
  <c r="S73" i="7" s="1"/>
  <c r="R72" i="7"/>
  <c r="Q72" i="7"/>
  <c r="S72" i="7" s="1"/>
  <c r="R71" i="7"/>
  <c r="Q71" i="7"/>
  <c r="S71" i="7" s="1"/>
  <c r="R70" i="7"/>
  <c r="Q70" i="7"/>
  <c r="R69" i="7"/>
  <c r="Q69" i="7"/>
  <c r="R68" i="7"/>
  <c r="Q68" i="7"/>
  <c r="R67" i="7"/>
  <c r="Q67" i="7"/>
  <c r="S67" i="7" s="1"/>
  <c r="R66" i="7"/>
  <c r="Q66" i="7"/>
  <c r="S66" i="7" s="1"/>
  <c r="R65" i="7"/>
  <c r="Q65" i="7"/>
  <c r="S65" i="7" s="1"/>
  <c r="R64" i="7"/>
  <c r="Q64" i="7"/>
  <c r="R63" i="7"/>
  <c r="Q63" i="7"/>
  <c r="S63" i="7"/>
  <c r="R62" i="7"/>
  <c r="Q62" i="7"/>
  <c r="R61" i="7"/>
  <c r="Q61" i="7"/>
  <c r="T61" i="7" s="1"/>
  <c r="R60" i="7"/>
  <c r="Q60" i="7"/>
  <c r="S60" i="7" s="1"/>
  <c r="R59" i="7"/>
  <c r="Q59" i="7"/>
  <c r="R58" i="7"/>
  <c r="Q58" i="7"/>
  <c r="S58" i="7" s="1"/>
  <c r="R57" i="7"/>
  <c r="Q57" i="7"/>
  <c r="R56" i="7"/>
  <c r="Q56" i="7"/>
  <c r="S56" i="7" s="1"/>
  <c r="R55" i="7"/>
  <c r="Q55" i="7"/>
  <c r="S55" i="7" s="1"/>
  <c r="R54" i="7"/>
  <c r="Q54" i="7"/>
  <c r="S54" i="7" s="1"/>
  <c r="R53" i="7"/>
  <c r="Q53" i="7"/>
  <c r="S53" i="7" s="1"/>
  <c r="R52" i="7"/>
  <c r="Q52" i="7"/>
  <c r="R51" i="7"/>
  <c r="Q51" i="7"/>
  <c r="S51" i="7" s="1"/>
  <c r="R50" i="7"/>
  <c r="Q50" i="7"/>
  <c r="S50" i="7" s="1"/>
  <c r="R49" i="7"/>
  <c r="Q49" i="7"/>
  <c r="S49" i="7" s="1"/>
  <c r="R48" i="7"/>
  <c r="Q48" i="7"/>
  <c r="R47" i="7"/>
  <c r="Q47" i="7"/>
  <c r="S47" i="7" s="1"/>
  <c r="R46" i="7"/>
  <c r="Q46" i="7"/>
  <c r="S46" i="7" s="1"/>
  <c r="R45" i="7"/>
  <c r="Q45" i="7"/>
  <c r="S45" i="7" s="1"/>
  <c r="R44" i="7"/>
  <c r="Q44" i="7"/>
  <c r="R43" i="7"/>
  <c r="Q43" i="7"/>
  <c r="S43" i="7" s="1"/>
  <c r="R42" i="7"/>
  <c r="Q42" i="7"/>
  <c r="S42" i="7" s="1"/>
  <c r="R41" i="7"/>
  <c r="Q41" i="7"/>
  <c r="S41" i="7" s="1"/>
  <c r="R40" i="7"/>
  <c r="Q40" i="7"/>
  <c r="R39" i="7"/>
  <c r="Q39" i="7"/>
  <c r="S39" i="7" s="1"/>
  <c r="R38" i="7"/>
  <c r="Q38" i="7"/>
  <c r="S38" i="7" s="1"/>
  <c r="R37" i="7"/>
  <c r="Q37" i="7"/>
  <c r="S37" i="7" s="1"/>
  <c r="R36" i="7"/>
  <c r="Q36" i="7"/>
  <c r="R35" i="7"/>
  <c r="Q35" i="7"/>
  <c r="S35" i="7" s="1"/>
  <c r="R34" i="7"/>
  <c r="Q34" i="7"/>
  <c r="S34" i="7" s="1"/>
  <c r="R33" i="7"/>
  <c r="Q33" i="7"/>
  <c r="S33" i="7" s="1"/>
  <c r="R32" i="7"/>
  <c r="Q32" i="7"/>
  <c r="R31" i="7"/>
  <c r="Q31" i="7"/>
  <c r="S31" i="7" s="1"/>
  <c r="R30" i="7"/>
  <c r="Q30" i="7"/>
  <c r="S30" i="7" s="1"/>
  <c r="R29" i="7"/>
  <c r="Q29" i="7"/>
  <c r="R28" i="7"/>
  <c r="Q28" i="7"/>
  <c r="R27" i="7"/>
  <c r="Q27" i="7"/>
  <c r="R26" i="7"/>
  <c r="Q26" i="7"/>
  <c r="S26" i="7" s="1"/>
  <c r="R25" i="7"/>
  <c r="Q25" i="7"/>
  <c r="R24" i="7"/>
  <c r="Q24" i="7"/>
  <c r="S24" i="7" s="1"/>
  <c r="R23" i="7"/>
  <c r="Q23" i="7"/>
  <c r="S23" i="7" s="1"/>
  <c r="R22" i="7"/>
  <c r="Q22" i="7"/>
  <c r="S22" i="7" s="1"/>
  <c r="R21" i="7"/>
  <c r="Q21" i="7"/>
  <c r="S21" i="7" s="1"/>
  <c r="R20" i="7"/>
  <c r="Q20" i="7"/>
  <c r="R19" i="7"/>
  <c r="Q19" i="7"/>
  <c r="S19" i="7" s="1"/>
  <c r="R18" i="7"/>
  <c r="Q18" i="7"/>
  <c r="R17" i="7"/>
  <c r="Q17" i="7"/>
  <c r="S17" i="7" s="1"/>
  <c r="R16" i="7"/>
  <c r="Q16" i="7"/>
  <c r="R15" i="7"/>
  <c r="Q15" i="7"/>
  <c r="R14" i="7"/>
  <c r="Q14" i="7"/>
  <c r="S14" i="7" s="1"/>
  <c r="R13" i="7"/>
  <c r="Q13" i="7"/>
  <c r="S13" i="7" s="1"/>
  <c r="R12" i="7"/>
  <c r="Q12" i="7"/>
  <c r="S12" i="7" s="1"/>
  <c r="N7" i="7"/>
  <c r="K18" i="6"/>
  <c r="N18" i="6"/>
  <c r="K17" i="6"/>
  <c r="N17" i="6"/>
  <c r="K16" i="6"/>
  <c r="N16" i="6"/>
  <c r="K15" i="6"/>
  <c r="N15" i="6"/>
  <c r="K14" i="6"/>
  <c r="N14" i="6"/>
  <c r="K13" i="6"/>
  <c r="N7" i="6"/>
  <c r="H55" i="5"/>
  <c r="T47" i="5"/>
  <c r="S47" i="5"/>
  <c r="U47" i="5" s="1"/>
  <c r="T46" i="5"/>
  <c r="S46" i="5"/>
  <c r="U46" i="5" s="1"/>
  <c r="T45" i="5"/>
  <c r="S45" i="5"/>
  <c r="U45" i="5" s="1"/>
  <c r="T44" i="5"/>
  <c r="S44" i="5"/>
  <c r="U44" i="5"/>
  <c r="T43" i="5"/>
  <c r="S43" i="5"/>
  <c r="U43" i="5"/>
  <c r="T42" i="5"/>
  <c r="V42" i="5" s="1"/>
  <c r="S42" i="5"/>
  <c r="T40" i="5"/>
  <c r="S40" i="5"/>
  <c r="U40" i="5"/>
  <c r="Q40" i="5"/>
  <c r="R40" i="5" s="1"/>
  <c r="P40" i="5"/>
  <c r="W40" i="5"/>
  <c r="T39" i="5"/>
  <c r="S39" i="5"/>
  <c r="Q39" i="5"/>
  <c r="R39" i="5"/>
  <c r="P39" i="5"/>
  <c r="W39" i="5" s="1"/>
  <c r="T38" i="5"/>
  <c r="S38" i="5"/>
  <c r="U38" i="5" s="1"/>
  <c r="Q38" i="5"/>
  <c r="R38" i="5"/>
  <c r="P38" i="5"/>
  <c r="W38" i="5" s="1"/>
  <c r="T37" i="5"/>
  <c r="S37" i="5"/>
  <c r="Q37" i="5"/>
  <c r="R37" i="5" s="1"/>
  <c r="P37" i="5"/>
  <c r="W37" i="5"/>
  <c r="T36" i="5"/>
  <c r="V36" i="5" s="1"/>
  <c r="S36" i="5"/>
  <c r="Q36" i="5"/>
  <c r="R36" i="5"/>
  <c r="P36" i="5"/>
  <c r="W36" i="5" s="1"/>
  <c r="T35" i="5"/>
  <c r="S35" i="5"/>
  <c r="U35" i="5"/>
  <c r="Q35" i="5"/>
  <c r="R35" i="5" s="1"/>
  <c r="P35" i="5"/>
  <c r="W35" i="5"/>
  <c r="T34" i="5"/>
  <c r="S34" i="5"/>
  <c r="U34" i="5"/>
  <c r="Q34" i="5"/>
  <c r="R34" i="5" s="1"/>
  <c r="P34" i="5"/>
  <c r="W34" i="5"/>
  <c r="T33" i="5"/>
  <c r="V33" i="5" s="1"/>
  <c r="S33" i="5"/>
  <c r="Q33" i="5"/>
  <c r="R33" i="5"/>
  <c r="P33" i="5"/>
  <c r="W33" i="5" s="1"/>
  <c r="T32" i="5"/>
  <c r="S32" i="5"/>
  <c r="U32" i="5"/>
  <c r="Q32" i="5"/>
  <c r="R32" i="5" s="1"/>
  <c r="P32" i="5"/>
  <c r="W32" i="5"/>
  <c r="T31" i="5"/>
  <c r="S31" i="5"/>
  <c r="Q31" i="5"/>
  <c r="R31" i="5"/>
  <c r="P31" i="5"/>
  <c r="W31" i="5" s="1"/>
  <c r="T30" i="5"/>
  <c r="S30" i="5"/>
  <c r="V30" i="5" s="1"/>
  <c r="Q30" i="5"/>
  <c r="R30" i="5" s="1"/>
  <c r="P30" i="5"/>
  <c r="W30" i="5"/>
  <c r="T29" i="5"/>
  <c r="S29" i="5"/>
  <c r="U29" i="5"/>
  <c r="Q29" i="5"/>
  <c r="R29" i="5" s="1"/>
  <c r="P29" i="5"/>
  <c r="W29" i="5"/>
  <c r="T28" i="5"/>
  <c r="V28" i="5" s="1"/>
  <c r="S28" i="5"/>
  <c r="U28" i="5" s="1"/>
  <c r="Q28" i="5"/>
  <c r="R28" i="5"/>
  <c r="P28" i="5"/>
  <c r="W28" i="5" s="1"/>
  <c r="T27" i="5"/>
  <c r="S27" i="5"/>
  <c r="U27" i="5" s="1"/>
  <c r="Q27" i="5"/>
  <c r="R27" i="5"/>
  <c r="P27" i="5"/>
  <c r="W27" i="5" s="1"/>
  <c r="T26" i="5"/>
  <c r="S26" i="5"/>
  <c r="V26" i="5" s="1"/>
  <c r="Q26" i="5"/>
  <c r="R26" i="5" s="1"/>
  <c r="P26" i="5"/>
  <c r="W26" i="5"/>
  <c r="T25" i="5"/>
  <c r="V25" i="5" s="1"/>
  <c r="S25" i="5"/>
  <c r="Q25" i="5"/>
  <c r="R25" i="5"/>
  <c r="P25" i="5"/>
  <c r="W25" i="5" s="1"/>
  <c r="T24" i="5"/>
  <c r="S24" i="5"/>
  <c r="V24" i="5" s="1"/>
  <c r="U24" i="5"/>
  <c r="Q24" i="5"/>
  <c r="R24" i="5" s="1"/>
  <c r="P24" i="5"/>
  <c r="W24" i="5"/>
  <c r="T23" i="5"/>
  <c r="S23" i="5"/>
  <c r="Q23" i="5"/>
  <c r="R23" i="5"/>
  <c r="P23" i="5"/>
  <c r="W23" i="5" s="1"/>
  <c r="T22" i="5"/>
  <c r="S22" i="5"/>
  <c r="U22" i="5" s="1"/>
  <c r="Q22" i="5"/>
  <c r="R22" i="5"/>
  <c r="P22" i="5"/>
  <c r="W22" i="5" s="1"/>
  <c r="T21" i="5"/>
  <c r="S21" i="5"/>
  <c r="V21" i="5" s="1"/>
  <c r="U21" i="5"/>
  <c r="Q21" i="5"/>
  <c r="R21" i="5" s="1"/>
  <c r="P21" i="5"/>
  <c r="W21" i="5"/>
  <c r="T20" i="5"/>
  <c r="S20" i="5"/>
  <c r="U20" i="5"/>
  <c r="Q20" i="5"/>
  <c r="R20" i="5" s="1"/>
  <c r="P20" i="5"/>
  <c r="W20" i="5"/>
  <c r="T19" i="5"/>
  <c r="V19" i="5" s="1"/>
  <c r="S19" i="5"/>
  <c r="U19" i="5" s="1"/>
  <c r="Q19" i="5"/>
  <c r="R19" i="5"/>
  <c r="P19" i="5"/>
  <c r="W19" i="5" s="1"/>
  <c r="T18" i="5"/>
  <c r="S18" i="5"/>
  <c r="U18" i="5" s="1"/>
  <c r="Q18" i="5"/>
  <c r="R18" i="5"/>
  <c r="P18" i="5"/>
  <c r="W18" i="5" s="1"/>
  <c r="T17" i="5"/>
  <c r="S17" i="5"/>
  <c r="Q17" i="5"/>
  <c r="R17" i="5" s="1"/>
  <c r="P17" i="5"/>
  <c r="W17" i="5"/>
  <c r="T16" i="5"/>
  <c r="S16" i="5"/>
  <c r="Q16" i="5"/>
  <c r="R16" i="5"/>
  <c r="P16" i="5"/>
  <c r="W16" i="5" s="1"/>
  <c r="T15" i="5"/>
  <c r="S15" i="5"/>
  <c r="U15" i="5"/>
  <c r="Q15" i="5"/>
  <c r="R15" i="5" s="1"/>
  <c r="P15" i="5"/>
  <c r="W15" i="5"/>
  <c r="T14" i="5"/>
  <c r="S14" i="5"/>
  <c r="U14" i="5"/>
  <c r="Q14" i="5"/>
  <c r="R14" i="5" s="1"/>
  <c r="P14" i="5"/>
  <c r="W14" i="5"/>
  <c r="T13" i="5"/>
  <c r="V13" i="5" s="1"/>
  <c r="S13" i="5"/>
  <c r="U13" i="5" s="1"/>
  <c r="Q13" i="5"/>
  <c r="R13" i="5"/>
  <c r="P13" i="5"/>
  <c r="W13" i="5" s="1"/>
  <c r="T12" i="5"/>
  <c r="S12" i="5"/>
  <c r="U12" i="5" s="1"/>
  <c r="Q12" i="5"/>
  <c r="R12" i="5"/>
  <c r="P12" i="5"/>
  <c r="W12" i="5" s="1"/>
  <c r="N7" i="5"/>
  <c r="U27" i="4"/>
  <c r="W27" i="4" s="1"/>
  <c r="T27" i="4"/>
  <c r="P27" i="4"/>
  <c r="Q27" i="4" s="1"/>
  <c r="U26" i="4"/>
  <c r="T26" i="4"/>
  <c r="W26" i="4" s="1"/>
  <c r="P26" i="4"/>
  <c r="Q26" i="4" s="1"/>
  <c r="U25" i="4"/>
  <c r="T25" i="4"/>
  <c r="V25" i="4" s="1"/>
  <c r="P25" i="4"/>
  <c r="Q25" i="4" s="1"/>
  <c r="U24" i="4"/>
  <c r="T24" i="4"/>
  <c r="P24" i="4"/>
  <c r="Q24" i="4" s="1"/>
  <c r="U23" i="4"/>
  <c r="T23" i="4"/>
  <c r="V23" i="4" s="1"/>
  <c r="P23" i="4"/>
  <c r="Q23" i="4" s="1"/>
  <c r="U22" i="4"/>
  <c r="T22" i="4"/>
  <c r="V22" i="4" s="1"/>
  <c r="P22" i="4"/>
  <c r="Q22" i="4" s="1"/>
  <c r="U21" i="4"/>
  <c r="T21" i="4"/>
  <c r="V21" i="4" s="1"/>
  <c r="P21" i="4"/>
  <c r="Q21" i="4" s="1"/>
  <c r="U20" i="4"/>
  <c r="T20" i="4"/>
  <c r="V20" i="4" s="1"/>
  <c r="P20" i="4"/>
  <c r="Q20" i="4" s="1"/>
  <c r="U18" i="4"/>
  <c r="W18" i="4" s="1"/>
  <c r="T18" i="4"/>
  <c r="R18" i="4"/>
  <c r="S18" i="4" s="1"/>
  <c r="P18" i="4"/>
  <c r="Q18" i="4" s="1"/>
  <c r="X18" i="4" s="1"/>
  <c r="U17" i="4"/>
  <c r="T17" i="4"/>
  <c r="V17" i="4" s="1"/>
  <c r="R17" i="4"/>
  <c r="S17" i="4" s="1"/>
  <c r="P17" i="4"/>
  <c r="Q17" i="4" s="1"/>
  <c r="X17" i="4" s="1"/>
  <c r="U16" i="4"/>
  <c r="T16" i="4"/>
  <c r="V16" i="4" s="1"/>
  <c r="R16" i="4"/>
  <c r="S16" i="4"/>
  <c r="P16" i="4"/>
  <c r="Q16" i="4" s="1"/>
  <c r="X16" i="4" s="1"/>
  <c r="U15" i="4"/>
  <c r="T15" i="4"/>
  <c r="V15" i="4" s="1"/>
  <c r="R15" i="4"/>
  <c r="S15" i="4" s="1"/>
  <c r="P15" i="4"/>
  <c r="Q15" i="4"/>
  <c r="X15" i="4" s="1"/>
  <c r="U14" i="4"/>
  <c r="T14" i="4"/>
  <c r="V14" i="4" s="1"/>
  <c r="R14" i="4"/>
  <c r="S14" i="4" s="1"/>
  <c r="P14" i="4"/>
  <c r="Q14" i="4" s="1"/>
  <c r="X14" i="4" s="1"/>
  <c r="U13" i="4"/>
  <c r="T13" i="4"/>
  <c r="V13" i="4" s="1"/>
  <c r="R13" i="4"/>
  <c r="S13" i="4"/>
  <c r="P13" i="4"/>
  <c r="Q13" i="4" s="1"/>
  <c r="X13" i="4" s="1"/>
  <c r="U12" i="4"/>
  <c r="W12" i="4" s="1"/>
  <c r="T12" i="4"/>
  <c r="V12" i="4" s="1"/>
  <c r="R12" i="4"/>
  <c r="S12" i="4" s="1"/>
  <c r="P12" i="4"/>
  <c r="Q12" i="4" s="1"/>
  <c r="X12" i="4" s="1"/>
  <c r="O7" i="4"/>
  <c r="H86" i="8"/>
  <c r="H227" i="7"/>
  <c r="H69" i="5"/>
  <c r="H79" i="8"/>
  <c r="H220" i="7"/>
  <c r="H62" i="5"/>
  <c r="N13" i="6"/>
  <c r="N20" i="6"/>
  <c r="N34" i="6"/>
  <c r="K20" i="6"/>
  <c r="V27" i="4"/>
  <c r="V18" i="4"/>
  <c r="T14" i="8"/>
  <c r="V16" i="5"/>
  <c r="V32" i="5"/>
  <c r="V17" i="5"/>
  <c r="V38" i="5"/>
  <c r="T16" i="8"/>
  <c r="U16" i="5"/>
  <c r="U17" i="5"/>
  <c r="U36" i="5"/>
  <c r="V46" i="5"/>
  <c r="V47" i="5"/>
  <c r="V20" i="5"/>
  <c r="U25" i="5"/>
  <c r="T15" i="8"/>
  <c r="V35" i="5"/>
  <c r="V40" i="5"/>
  <c r="U42" i="5"/>
  <c r="V24" i="4"/>
  <c r="T56" i="7"/>
  <c r="T76" i="7"/>
  <c r="T22" i="8"/>
  <c r="H79" i="4"/>
  <c r="F2" i="8"/>
  <c r="F2" i="6"/>
  <c r="F2" i="7"/>
  <c r="F2" i="5"/>
  <c r="F2" i="4"/>
  <c r="V31" i="5"/>
  <c r="U31" i="5"/>
  <c r="V43" i="5"/>
  <c r="V15" i="5"/>
  <c r="V23" i="5"/>
  <c r="U23" i="5"/>
  <c r="W25" i="4"/>
  <c r="V37" i="5"/>
  <c r="U37" i="5"/>
  <c r="S57" i="7"/>
  <c r="V12" i="5"/>
  <c r="U33" i="5"/>
  <c r="V34" i="5"/>
  <c r="K55" i="5"/>
  <c r="H61" i="5"/>
  <c r="H63" i="5"/>
  <c r="V22" i="5"/>
  <c r="T30" i="7"/>
  <c r="V44" i="5"/>
  <c r="V39" i="5"/>
  <c r="U39" i="5"/>
  <c r="S83" i="7"/>
  <c r="T88" i="7"/>
  <c r="S109" i="7"/>
  <c r="S111" i="7"/>
  <c r="S17" i="8"/>
  <c r="T17" i="8"/>
  <c r="S21" i="8"/>
  <c r="T21" i="8"/>
  <c r="S13" i="8"/>
  <c r="T13" i="8"/>
  <c r="T19" i="8"/>
  <c r="T12" i="8"/>
  <c r="S16" i="8"/>
  <c r="T20" i="8"/>
  <c r="S20" i="8"/>
  <c r="T18" i="8"/>
  <c r="Z136" i="7"/>
  <c r="Z138" i="7"/>
  <c r="Z140" i="7"/>
  <c r="Z139" i="7"/>
  <c r="Z134" i="7"/>
  <c r="H22" i="9"/>
  <c r="E22" i="9"/>
  <c r="J22" i="9"/>
  <c r="AB27" i="4"/>
  <c r="E23" i="9"/>
  <c r="H219" i="7"/>
  <c r="H221" i="7" s="1"/>
  <c r="E25" i="9"/>
  <c r="Z135" i="7"/>
  <c r="Z129" i="7"/>
  <c r="Z137" i="7"/>
  <c r="AB18" i="4"/>
  <c r="H78" i="8"/>
  <c r="H80" i="8"/>
  <c r="P16" i="9"/>
  <c r="Z131" i="7"/>
  <c r="Z130" i="7"/>
  <c r="Z128" i="7"/>
  <c r="Z132" i="7"/>
  <c r="Z127" i="7"/>
  <c r="G230" i="7"/>
  <c r="G237" i="7" s="1"/>
  <c r="J63" i="5"/>
  <c r="H226" i="7"/>
  <c r="J64" i="5"/>
  <c r="H85" i="8"/>
  <c r="H87" i="8"/>
  <c r="G82" i="4"/>
  <c r="G89" i="4" s="1"/>
  <c r="H91" i="4" s="1"/>
  <c r="H90" i="8"/>
  <c r="H91" i="8"/>
  <c r="G81" i="4"/>
  <c r="H83" i="4" s="1"/>
  <c r="G71" i="5"/>
  <c r="G72" i="5"/>
  <c r="H80" i="5" s="1"/>
  <c r="G79" i="5" s="1"/>
  <c r="J62" i="5"/>
  <c r="H68" i="5"/>
  <c r="H70" i="5"/>
  <c r="H74" i="5" s="1"/>
  <c r="Z59" i="7"/>
  <c r="Z56" i="7"/>
  <c r="H78" i="4"/>
  <c r="H80" i="4" s="1"/>
  <c r="H84" i="4" s="1"/>
  <c r="AD27" i="4"/>
  <c r="AD20" i="4"/>
  <c r="AD24" i="4"/>
  <c r="Z71" i="7"/>
  <c r="J61" i="5"/>
  <c r="J65" i="5" s="1"/>
  <c r="J67" i="5" s="1"/>
  <c r="H81" i="5"/>
  <c r="H73" i="5"/>
  <c r="G90" i="4"/>
  <c r="H98" i="8"/>
  <c r="AB16" i="8"/>
  <c r="Z69" i="7"/>
  <c r="Z18" i="7"/>
  <c r="Z84" i="7"/>
  <c r="Z55" i="7"/>
  <c r="Z46" i="7"/>
  <c r="Z63" i="7"/>
  <c r="Z73" i="7"/>
  <c r="Z38" i="7"/>
  <c r="Z43" i="7"/>
  <c r="Z61" i="7"/>
  <c r="Z113" i="7"/>
  <c r="Z116" i="7"/>
  <c r="Z80" i="7"/>
  <c r="Z88" i="7"/>
  <c r="Z50" i="7"/>
  <c r="Z32" i="7"/>
  <c r="AD18" i="4"/>
  <c r="AQ18" i="4" s="1"/>
  <c r="Z67" i="7"/>
  <c r="Z36" i="7"/>
  <c r="Z98" i="7"/>
  <c r="Z82" i="7"/>
  <c r="Z90" i="7"/>
  <c r="Z65" i="7"/>
  <c r="AG116" i="7"/>
  <c r="AG76" i="7"/>
  <c r="AG124" i="7"/>
  <c r="AG15" i="7"/>
  <c r="AG62" i="7"/>
  <c r="AG13" i="7"/>
  <c r="AG85" i="7"/>
  <c r="AK85" i="7" s="1"/>
  <c r="G229" i="7"/>
  <c r="H231" i="7" s="1"/>
  <c r="AG37" i="7"/>
  <c r="AK37" i="7" s="1"/>
  <c r="Y142" i="7"/>
  <c r="AC35" i="4"/>
  <c r="AC64" i="4" s="1"/>
  <c r="AC66" i="4" s="1"/>
  <c r="AC69" i="4" s="1"/>
  <c r="AD29" i="4"/>
  <c r="BC71" i="8" l="1"/>
  <c r="L16" i="9" s="1"/>
  <c r="Y214" i="7"/>
  <c r="AG43" i="7"/>
  <c r="AK43" i="7" s="1"/>
  <c r="AG21" i="7"/>
  <c r="T102" i="7"/>
  <c r="T17" i="7"/>
  <c r="T19" i="7"/>
  <c r="T21" i="7"/>
  <c r="X153" i="7"/>
  <c r="BB178" i="7"/>
  <c r="BB129" i="7"/>
  <c r="BC129" i="7"/>
  <c r="BH129" i="7"/>
  <c r="T103" i="7"/>
  <c r="X158" i="7"/>
  <c r="AG45" i="7"/>
  <c r="AK45" i="7" s="1"/>
  <c r="AG102" i="7"/>
  <c r="AG117" i="7"/>
  <c r="T51" i="7"/>
  <c r="T34" i="7"/>
  <c r="T151" i="7"/>
  <c r="AW129" i="7"/>
  <c r="AX129" i="7"/>
  <c r="U138" i="7"/>
  <c r="X138" i="7" s="1"/>
  <c r="AF130" i="7"/>
  <c r="AG130" i="7" s="1"/>
  <c r="AF119" i="7"/>
  <c r="AG119" i="7" s="1"/>
  <c r="AL45" i="7"/>
  <c r="AK102" i="7"/>
  <c r="AK62" i="7"/>
  <c r="AL62" i="7" s="1"/>
  <c r="AK15" i="7"/>
  <c r="AL15" i="7" s="1"/>
  <c r="AK116" i="7"/>
  <c r="AL116" i="7" s="1"/>
  <c r="AK117" i="7"/>
  <c r="AL117" i="7" s="1"/>
  <c r="Z12" i="7"/>
  <c r="AL85" i="7"/>
  <c r="AM85" i="7"/>
  <c r="AK13" i="7"/>
  <c r="AL13" i="7"/>
  <c r="AK124" i="7"/>
  <c r="AL124" i="7" s="1"/>
  <c r="T60" i="7"/>
  <c r="T72" i="7"/>
  <c r="AL37" i="7"/>
  <c r="AG90" i="7"/>
  <c r="AG98" i="7"/>
  <c r="AG101" i="7"/>
  <c r="AK101" i="7" s="1"/>
  <c r="AK76" i="7"/>
  <c r="AM76" i="7" s="1"/>
  <c r="Z106" i="7"/>
  <c r="T90" i="7"/>
  <c r="S86" i="7"/>
  <c r="T104" i="7"/>
  <c r="T12" i="7"/>
  <c r="T106" i="7"/>
  <c r="T122" i="7"/>
  <c r="AY129" i="7"/>
  <c r="BD129" i="7"/>
  <c r="BG129" i="7"/>
  <c r="AV158" i="7"/>
  <c r="U125" i="7"/>
  <c r="BG190" i="7"/>
  <c r="BC190" i="7"/>
  <c r="AY190" i="7"/>
  <c r="BF190" i="7"/>
  <c r="BB190" i="7"/>
  <c r="AX190" i="7"/>
  <c r="BE190" i="7"/>
  <c r="BA190" i="7"/>
  <c r="AW190" i="7"/>
  <c r="AZ190" i="7"/>
  <c r="BH190" i="7"/>
  <c r="BD190" i="7"/>
  <c r="AG191" i="7"/>
  <c r="AG111" i="7"/>
  <c r="AL43" i="7"/>
  <c r="T74" i="7"/>
  <c r="BF138" i="7"/>
  <c r="BB138" i="7"/>
  <c r="AX138" i="7"/>
  <c r="BE138" i="7"/>
  <c r="BA138" i="7"/>
  <c r="AW138" i="7"/>
  <c r="BH138" i="7"/>
  <c r="BD138" i="7"/>
  <c r="AZ138" i="7"/>
  <c r="BG138" i="7"/>
  <c r="BC138" i="7"/>
  <c r="AY138" i="7"/>
  <c r="U109" i="7"/>
  <c r="BB109" i="7" s="1"/>
  <c r="BG188" i="7"/>
  <c r="BC188" i="7"/>
  <c r="AY188" i="7"/>
  <c r="BF188" i="7"/>
  <c r="BB188" i="7"/>
  <c r="AX188" i="7"/>
  <c r="BE188" i="7"/>
  <c r="BA188" i="7"/>
  <c r="AW188" i="7"/>
  <c r="BH188" i="7"/>
  <c r="BD188" i="7"/>
  <c r="AZ188" i="7"/>
  <c r="AG109" i="7"/>
  <c r="AG86" i="7"/>
  <c r="AG68" i="7"/>
  <c r="AG31" i="7"/>
  <c r="AK31" i="7" s="1"/>
  <c r="AK21" i="7"/>
  <c r="AL21" i="7" s="1"/>
  <c r="AG125" i="7"/>
  <c r="Z122" i="7"/>
  <c r="T115" i="7"/>
  <c r="T67" i="7"/>
  <c r="T84" i="7"/>
  <c r="T25" i="7"/>
  <c r="T26" i="7"/>
  <c r="T79" i="7"/>
  <c r="T81" i="7"/>
  <c r="T111" i="7"/>
  <c r="AG157" i="7"/>
  <c r="T139" i="7"/>
  <c r="T130" i="7"/>
  <c r="T138" i="7"/>
  <c r="X157" i="7"/>
  <c r="X129" i="7"/>
  <c r="AZ129" i="7"/>
  <c r="BF140" i="7"/>
  <c r="BB140" i="7"/>
  <c r="AX140" i="7"/>
  <c r="BE140" i="7"/>
  <c r="BA140" i="7"/>
  <c r="AW140" i="7"/>
  <c r="BH140" i="7"/>
  <c r="BD140" i="7"/>
  <c r="AZ140" i="7"/>
  <c r="BC140" i="7"/>
  <c r="AY140" i="7"/>
  <c r="BG140" i="7"/>
  <c r="AC191" i="7"/>
  <c r="BG191" i="7"/>
  <c r="BC191" i="7"/>
  <c r="AY191" i="7"/>
  <c r="BF191" i="7"/>
  <c r="BB191" i="7"/>
  <c r="AX191" i="7"/>
  <c r="BE191" i="7"/>
  <c r="BA191" i="7"/>
  <c r="AW191" i="7"/>
  <c r="BD191" i="7"/>
  <c r="AZ191" i="7"/>
  <c r="BH191" i="7"/>
  <c r="AM40" i="5"/>
  <c r="AH40" i="5"/>
  <c r="AC40" i="5"/>
  <c r="AH38" i="5"/>
  <c r="AM38" i="5"/>
  <c r="AM36" i="5"/>
  <c r="AH36" i="5"/>
  <c r="AC36" i="5"/>
  <c r="AH34" i="5"/>
  <c r="AM34" i="5"/>
  <c r="AM32" i="5"/>
  <c r="AH32" i="5"/>
  <c r="AC32" i="5"/>
  <c r="AH30" i="5"/>
  <c r="AM30" i="5"/>
  <c r="AM28" i="5"/>
  <c r="AH28" i="5"/>
  <c r="AC28" i="5"/>
  <c r="AH26" i="5"/>
  <c r="AC26" i="5"/>
  <c r="AM26" i="5"/>
  <c r="AM24" i="5"/>
  <c r="AH24" i="5"/>
  <c r="AC24" i="5"/>
  <c r="AH22" i="5"/>
  <c r="AC22" i="5"/>
  <c r="AM22" i="5"/>
  <c r="AM20" i="5"/>
  <c r="AH20" i="5"/>
  <c r="AC20" i="5"/>
  <c r="AH18" i="5"/>
  <c r="AC18" i="5"/>
  <c r="AM18" i="5"/>
  <c r="AM16" i="5"/>
  <c r="AH16" i="5"/>
  <c r="AC16" i="5"/>
  <c r="AH14" i="5"/>
  <c r="AC14" i="5"/>
  <c r="AM14" i="5"/>
  <c r="AM12" i="5"/>
  <c r="AH12" i="5"/>
  <c r="AC12" i="5"/>
  <c r="V45" i="5"/>
  <c r="AY12" i="5"/>
  <c r="AC30" i="5"/>
  <c r="X46" i="5"/>
  <c r="X45" i="5"/>
  <c r="AC45" i="5"/>
  <c r="X42" i="5"/>
  <c r="U26" i="5"/>
  <c r="V14" i="5"/>
  <c r="U30" i="5"/>
  <c r="V27" i="5"/>
  <c r="AK52" i="5"/>
  <c r="AL52" i="5" s="1"/>
  <c r="BK52" i="5"/>
  <c r="BI52" i="5"/>
  <c r="BF52" i="5"/>
  <c r="AY52" i="5"/>
  <c r="BJ52" i="5"/>
  <c r="BG52" i="5"/>
  <c r="BH52" i="5"/>
  <c r="AH39" i="5"/>
  <c r="AC39" i="5"/>
  <c r="AM39" i="5"/>
  <c r="AH37" i="5"/>
  <c r="AC37" i="5"/>
  <c r="AM37" i="5"/>
  <c r="AH35" i="5"/>
  <c r="AC35" i="5"/>
  <c r="AM35" i="5"/>
  <c r="AH33" i="5"/>
  <c r="AC33" i="5"/>
  <c r="AM33" i="5"/>
  <c r="AH31" i="5"/>
  <c r="AC31" i="5"/>
  <c r="AM31" i="5"/>
  <c r="AH29" i="5"/>
  <c r="AC29" i="5"/>
  <c r="AM29" i="5"/>
  <c r="AH27" i="5"/>
  <c r="AC27" i="5"/>
  <c r="AM27" i="5"/>
  <c r="AH25" i="5"/>
  <c r="AC25" i="5"/>
  <c r="AM25" i="5"/>
  <c r="AH23" i="5"/>
  <c r="AC23" i="5"/>
  <c r="AM23" i="5"/>
  <c r="AH21" i="5"/>
  <c r="AC21" i="5"/>
  <c r="AM21" i="5"/>
  <c r="AH19" i="5"/>
  <c r="AC19" i="5"/>
  <c r="AM19" i="5"/>
  <c r="AH17" i="5"/>
  <c r="AC17" i="5"/>
  <c r="AM17" i="5"/>
  <c r="AH15" i="5"/>
  <c r="AC15" i="5"/>
  <c r="AM15" i="5"/>
  <c r="AH13" i="5"/>
  <c r="AC13" i="5"/>
  <c r="AM13" i="5"/>
  <c r="V18" i="5"/>
  <c r="V29" i="5"/>
  <c r="AC38" i="5"/>
  <c r="AK49" i="5"/>
  <c r="BK49" i="5"/>
  <c r="BI49" i="5"/>
  <c r="BF49" i="5"/>
  <c r="BC49" i="5"/>
  <c r="BJ49" i="5"/>
  <c r="BG49" i="5"/>
  <c r="BD49" i="5"/>
  <c r="AF49" i="5"/>
  <c r="AG49" i="5" s="1"/>
  <c r="BH49" i="5"/>
  <c r="BA49" i="5"/>
  <c r="AY49" i="5" s="1"/>
  <c r="X47" i="5"/>
  <c r="BK44" i="5"/>
  <c r="BI44" i="5"/>
  <c r="BF44" i="5"/>
  <c r="BC44" i="5"/>
  <c r="AZ44" i="5"/>
  <c r="AY44" i="5" s="1"/>
  <c r="AK44" i="5"/>
  <c r="BJ44" i="5"/>
  <c r="BG44" i="5"/>
  <c r="BD44" i="5"/>
  <c r="AF44" i="5"/>
  <c r="AG44" i="5" s="1"/>
  <c r="BH44" i="5"/>
  <c r="BA44" i="5"/>
  <c r="X43" i="5"/>
  <c r="AD62" i="4"/>
  <c r="BI55" i="4"/>
  <c r="BE55" i="4"/>
  <c r="BA55" i="4"/>
  <c r="BB55" i="4"/>
  <c r="BL55" i="4"/>
  <c r="BH55" i="4"/>
  <c r="BD55" i="4"/>
  <c r="BF55" i="4"/>
  <c r="BK55" i="4"/>
  <c r="BG55" i="4"/>
  <c r="BC55" i="4"/>
  <c r="BJ55" i="4"/>
  <c r="AB55" i="4"/>
  <c r="BL60" i="4"/>
  <c r="BH60" i="4"/>
  <c r="BD60" i="4"/>
  <c r="BK60" i="4"/>
  <c r="BG60" i="4"/>
  <c r="BC60" i="4"/>
  <c r="BI60" i="4"/>
  <c r="BJ60" i="4"/>
  <c r="BF60" i="4"/>
  <c r="BB60" i="4"/>
  <c r="BE60" i="4"/>
  <c r="BA60" i="4"/>
  <c r="AQ60" i="4"/>
  <c r="AG60" i="4"/>
  <c r="AH60" i="4" s="1"/>
  <c r="AL60" i="4"/>
  <c r="AB60" i="4"/>
  <c r="BI56" i="4"/>
  <c r="BE56" i="4"/>
  <c r="BA56" i="4"/>
  <c r="BB56" i="4"/>
  <c r="BL56" i="4"/>
  <c r="BH56" i="4"/>
  <c r="BD56" i="4"/>
  <c r="BJ56" i="4"/>
  <c r="BK56" i="4"/>
  <c r="BG56" i="4"/>
  <c r="BC56" i="4"/>
  <c r="BF56" i="4"/>
  <c r="AQ56" i="4"/>
  <c r="AQ62" i="4" s="1"/>
  <c r="AB56" i="4"/>
  <c r="AL56" i="4"/>
  <c r="AG56" i="4"/>
  <c r="AL37" i="4"/>
  <c r="AL42" i="4" s="1"/>
  <c r="BK37" i="4"/>
  <c r="BK42" i="4" s="1"/>
  <c r="BG37" i="4"/>
  <c r="BG42" i="4" s="1"/>
  <c r="BC37" i="4"/>
  <c r="BC42" i="4" s="1"/>
  <c r="BL37" i="4"/>
  <c r="BL42" i="4" s="1"/>
  <c r="BH37" i="4"/>
  <c r="BH42" i="4" s="1"/>
  <c r="BJ37" i="4"/>
  <c r="BJ42" i="4" s="1"/>
  <c r="BF37" i="4"/>
  <c r="BF42" i="4" s="1"/>
  <c r="BB37" i="4"/>
  <c r="BB42" i="4" s="1"/>
  <c r="AQ37" i="4"/>
  <c r="BI37" i="4"/>
  <c r="BI42" i="4" s="1"/>
  <c r="BE37" i="4"/>
  <c r="BE42" i="4" s="1"/>
  <c r="BA37" i="4"/>
  <c r="BA42" i="4" s="1"/>
  <c r="BD37" i="4"/>
  <c r="BD42" i="4" s="1"/>
  <c r="AQ30" i="4"/>
  <c r="AL30" i="4"/>
  <c r="BL30" i="4"/>
  <c r="BJ30" i="4"/>
  <c r="BF30" i="4"/>
  <c r="BB30" i="4"/>
  <c r="BI30" i="4"/>
  <c r="BG30" i="4"/>
  <c r="BC30" i="4"/>
  <c r="AB30" i="4"/>
  <c r="BE30" i="4"/>
  <c r="AG30" i="4"/>
  <c r="AH30" i="4" s="1"/>
  <c r="BK30" i="4"/>
  <c r="BH30" i="4"/>
  <c r="BD30" i="4"/>
  <c r="BA30" i="4"/>
  <c r="AQ31" i="4"/>
  <c r="AL31" i="4"/>
  <c r="BI31" i="4"/>
  <c r="BE31" i="4"/>
  <c r="AB31" i="4"/>
  <c r="BK31" i="4"/>
  <c r="BH31" i="4"/>
  <c r="BD31" i="4"/>
  <c r="BL31" i="4"/>
  <c r="BJ31" i="4"/>
  <c r="BF31" i="4"/>
  <c r="BB31" i="4"/>
  <c r="BA31" i="4"/>
  <c r="AG31" i="4"/>
  <c r="AH31" i="4" s="1"/>
  <c r="AI31" i="4" s="1"/>
  <c r="BG31" i="4"/>
  <c r="BC31" i="4"/>
  <c r="AQ29" i="4"/>
  <c r="AQ74" i="4" s="1"/>
  <c r="AB29" i="4"/>
  <c r="AG29" i="4"/>
  <c r="AH29" i="4" s="1"/>
  <c r="AL29" i="4"/>
  <c r="BL57" i="4"/>
  <c r="BH57" i="4"/>
  <c r="BD57" i="4"/>
  <c r="BA57" i="4"/>
  <c r="BK57" i="4"/>
  <c r="BG57" i="4"/>
  <c r="BC57" i="4"/>
  <c r="BI57" i="4"/>
  <c r="BJ57" i="4"/>
  <c r="BF57" i="4"/>
  <c r="BB57" i="4"/>
  <c r="BE57" i="4"/>
  <c r="AB57" i="4"/>
  <c r="BL59" i="4"/>
  <c r="BH59" i="4"/>
  <c r="BD59" i="4"/>
  <c r="BK59" i="4"/>
  <c r="BG59" i="4"/>
  <c r="BC59" i="4"/>
  <c r="BE59" i="4"/>
  <c r="BJ59" i="4"/>
  <c r="BF59" i="4"/>
  <c r="BB59" i="4"/>
  <c r="BI59" i="4"/>
  <c r="BA59" i="4"/>
  <c r="AB59" i="4"/>
  <c r="AQ32" i="4"/>
  <c r="BK32" i="4"/>
  <c r="BH32" i="4"/>
  <c r="BD32" i="4"/>
  <c r="BA32" i="4"/>
  <c r="BG32" i="4"/>
  <c r="AG32" i="4"/>
  <c r="AH32" i="4" s="1"/>
  <c r="BI32" i="4"/>
  <c r="BE32" i="4"/>
  <c r="BC32" i="4"/>
  <c r="BL32" i="4"/>
  <c r="BJ32" i="4"/>
  <c r="BF32" i="4"/>
  <c r="BB32" i="4"/>
  <c r="AL32" i="4"/>
  <c r="AB32" i="4"/>
  <c r="AM18" i="4"/>
  <c r="AR18" i="4" s="1"/>
  <c r="AS18" i="4" s="1"/>
  <c r="AI18" i="4"/>
  <c r="Y26" i="4"/>
  <c r="W21" i="4"/>
  <c r="V26" i="4"/>
  <c r="W29" i="4"/>
  <c r="W31" i="4"/>
  <c r="W57" i="4"/>
  <c r="AN18" i="4"/>
  <c r="W20" i="4"/>
  <c r="W24" i="4"/>
  <c r="Y58" i="4"/>
  <c r="W55" i="4"/>
  <c r="AZ16" i="4"/>
  <c r="AI16" i="4"/>
  <c r="O14" i="4"/>
  <c r="W13" i="4"/>
  <c r="W16" i="4"/>
  <c r="AZ17" i="4"/>
  <c r="Y24" i="4"/>
  <c r="W17" i="4"/>
  <c r="W22" i="4"/>
  <c r="Y25" i="4"/>
  <c r="AM17" i="4"/>
  <c r="AN17" i="4" s="1"/>
  <c r="AM16" i="4"/>
  <c r="AN16" i="4" s="1"/>
  <c r="AZ15" i="4"/>
  <c r="AM31" i="4"/>
  <c r="Y21" i="4"/>
  <c r="O13" i="4"/>
  <c r="AS39" i="4"/>
  <c r="BE71" i="8"/>
  <c r="N16" i="9" s="1"/>
  <c r="BB71" i="8"/>
  <c r="K16" i="9" s="1"/>
  <c r="AV29" i="8"/>
  <c r="AV71" i="8" s="1"/>
  <c r="Y71" i="8"/>
  <c r="AD71" i="8"/>
  <c r="X71" i="8"/>
  <c r="AJ71" i="8"/>
  <c r="AI71" i="8"/>
  <c r="AE71" i="8"/>
  <c r="AC71" i="8"/>
  <c r="Z71" i="8"/>
  <c r="AH71" i="8"/>
  <c r="AC125" i="7"/>
  <c r="AD125" i="7" s="1"/>
  <c r="BH125" i="7"/>
  <c r="BD125" i="7"/>
  <c r="BC125" i="7"/>
  <c r="BB125" i="7"/>
  <c r="BA125" i="7"/>
  <c r="BF125" i="7"/>
  <c r="AY125" i="7"/>
  <c r="BG125" i="7"/>
  <c r="BE125" i="7"/>
  <c r="AZ125" i="7"/>
  <c r="BG73" i="7"/>
  <c r="AX73" i="7"/>
  <c r="BA73" i="7"/>
  <c r="AW73" i="7"/>
  <c r="T42" i="7"/>
  <c r="H228" i="7"/>
  <c r="H232" i="7" s="1"/>
  <c r="T31" i="7"/>
  <c r="T35" i="7"/>
  <c r="T45" i="7"/>
  <c r="T47" i="7"/>
  <c r="T97" i="7"/>
  <c r="T99" i="7"/>
  <c r="T107" i="7"/>
  <c r="T109" i="7"/>
  <c r="T120" i="7"/>
  <c r="T127" i="7"/>
  <c r="T129" i="7"/>
  <c r="T132" i="7"/>
  <c r="T134" i="7"/>
  <c r="S138" i="7"/>
  <c r="T158" i="7"/>
  <c r="T152" i="7"/>
  <c r="T155" i="7"/>
  <c r="X73" i="7"/>
  <c r="BF73" i="7"/>
  <c r="AA174" i="7"/>
  <c r="AB174" i="7" s="1"/>
  <c r="U174" i="7"/>
  <c r="AA137" i="7"/>
  <c r="U137" i="7"/>
  <c r="U118" i="7"/>
  <c r="AC118" i="7" s="1"/>
  <c r="AD118" i="7" s="1"/>
  <c r="N52" i="7"/>
  <c r="Z52" i="7" s="1"/>
  <c r="U52" i="7"/>
  <c r="AC52" i="7" s="1"/>
  <c r="AD52" i="7" s="1"/>
  <c r="AG97" i="7"/>
  <c r="AK97" i="7" s="1"/>
  <c r="T24" i="7"/>
  <c r="T23" i="7"/>
  <c r="X125" i="7"/>
  <c r="AV166" i="7"/>
  <c r="AC183" i="7"/>
  <c r="U177" i="7"/>
  <c r="BE177" i="7" s="1"/>
  <c r="AA177" i="7"/>
  <c r="AA159" i="7"/>
  <c r="AB159" i="7" s="1"/>
  <c r="U159" i="7"/>
  <c r="AW85" i="7"/>
  <c r="AX85" i="7"/>
  <c r="BA85" i="7"/>
  <c r="AA26" i="7"/>
  <c r="U26" i="7"/>
  <c r="AA12" i="7"/>
  <c r="U12" i="7"/>
  <c r="AC12" i="7" s="1"/>
  <c r="AG78" i="7"/>
  <c r="AG23" i="7"/>
  <c r="H238" i="7"/>
  <c r="H239" i="7" s="1"/>
  <c r="AG99" i="7"/>
  <c r="AK99" i="7" s="1"/>
  <c r="T27" i="7"/>
  <c r="T37" i="7"/>
  <c r="T39" i="7"/>
  <c r="T53" i="7"/>
  <c r="T55" i="7"/>
  <c r="S61" i="7"/>
  <c r="T64" i="7"/>
  <c r="T92" i="7"/>
  <c r="T117" i="7"/>
  <c r="T125" i="7"/>
  <c r="T153" i="7"/>
  <c r="S165" i="7"/>
  <c r="T166" i="7"/>
  <c r="T169" i="7"/>
  <c r="X160" i="7"/>
  <c r="U154" i="7"/>
  <c r="AA154" i="7"/>
  <c r="AB154" i="7" s="1"/>
  <c r="AH125" i="7"/>
  <c r="AA178" i="7"/>
  <c r="AC178" i="7" s="1"/>
  <c r="AD178" i="7" s="1"/>
  <c r="U164" i="7"/>
  <c r="AC157" i="7"/>
  <c r="AD157" i="7" s="1"/>
  <c r="AE157" i="7" s="1"/>
  <c r="AA153" i="7"/>
  <c r="AC153" i="7" s="1"/>
  <c r="AD153" i="7" s="1"/>
  <c r="AA140" i="7"/>
  <c r="AC140" i="7" s="1"/>
  <c r="AD140" i="7" s="1"/>
  <c r="U130" i="7"/>
  <c r="BG130" i="7" s="1"/>
  <c r="N125" i="7"/>
  <c r="N118" i="7"/>
  <c r="Z118" i="7" s="1"/>
  <c r="N109" i="7"/>
  <c r="Z109" i="7" s="1"/>
  <c r="N85" i="7"/>
  <c r="Z85" i="7" s="1"/>
  <c r="U48" i="7"/>
  <c r="U16" i="7"/>
  <c r="T184" i="7"/>
  <c r="U86" i="7"/>
  <c r="AY86" i="7" s="1"/>
  <c r="S69" i="7"/>
  <c r="T69" i="7"/>
  <c r="S98" i="7"/>
  <c r="T98" i="7"/>
  <c r="N22" i="7"/>
  <c r="Z22" i="7" s="1"/>
  <c r="U22" i="7"/>
  <c r="S25" i="7"/>
  <c r="T18" i="7"/>
  <c r="T41" i="7"/>
  <c r="S75" i="7"/>
  <c r="T75" i="7"/>
  <c r="S110" i="7"/>
  <c r="T110" i="7"/>
  <c r="N34" i="7"/>
  <c r="Z34" i="7" s="1"/>
  <c r="U34" i="7"/>
  <c r="T14" i="7"/>
  <c r="T131" i="7"/>
  <c r="T136" i="7"/>
  <c r="T148" i="7"/>
  <c r="T160" i="7"/>
  <c r="T159" i="7"/>
  <c r="AA147" i="7"/>
  <c r="AB147" i="7" s="1"/>
  <c r="U147" i="7"/>
  <c r="U131" i="7"/>
  <c r="AA131" i="7"/>
  <c r="N102" i="7"/>
  <c r="Z102" i="7" s="1"/>
  <c r="U102" i="7"/>
  <c r="BF102" i="7" s="1"/>
  <c r="BC86" i="7"/>
  <c r="AB44" i="7"/>
  <c r="AF39" i="7"/>
  <c r="AG39" i="7" s="1"/>
  <c r="AK39" i="7" s="1"/>
  <c r="S100" i="7"/>
  <c r="T100" i="7"/>
  <c r="T173" i="7"/>
  <c r="AA18" i="7"/>
  <c r="AB18" i="7" s="1"/>
  <c r="U18" i="7"/>
  <c r="AA14" i="7"/>
  <c r="U14" i="7"/>
  <c r="S16" i="7"/>
  <c r="T16" i="7"/>
  <c r="T96" i="7"/>
  <c r="S112" i="7"/>
  <c r="T112" i="7"/>
  <c r="Z162" i="7"/>
  <c r="T87" i="7"/>
  <c r="S87" i="7"/>
  <c r="S95" i="7"/>
  <c r="T95" i="7"/>
  <c r="S125" i="7"/>
  <c r="T91" i="7"/>
  <c r="T46" i="7"/>
  <c r="S15" i="7"/>
  <c r="T15" i="7"/>
  <c r="S28" i="7"/>
  <c r="T28" i="7"/>
  <c r="T33" i="7"/>
  <c r="T49" i="7"/>
  <c r="S78" i="7"/>
  <c r="T78" i="7"/>
  <c r="S82" i="7"/>
  <c r="T82" i="7"/>
  <c r="S145" i="7"/>
  <c r="T145" i="7"/>
  <c r="T179" i="7"/>
  <c r="AG61" i="7"/>
  <c r="AK61" i="7" s="1"/>
  <c r="AG108" i="7"/>
  <c r="T43" i="7"/>
  <c r="T65" i="7"/>
  <c r="T66" i="7"/>
  <c r="T70" i="7"/>
  <c r="T71" i="7"/>
  <c r="T73" i="7"/>
  <c r="T93" i="7"/>
  <c r="T114" i="7"/>
  <c r="Z171" i="7"/>
  <c r="T147" i="7"/>
  <c r="T149" i="7"/>
  <c r="T150" i="7"/>
  <c r="T174" i="7"/>
  <c r="BF109" i="7"/>
  <c r="AF184" i="7"/>
  <c r="AG184" i="7" s="1"/>
  <c r="U184" i="7"/>
  <c r="U169" i="7"/>
  <c r="AA169" i="7"/>
  <c r="U165" i="7"/>
  <c r="AA165" i="7"/>
  <c r="AA146" i="7"/>
  <c r="U146" i="7"/>
  <c r="U128" i="7"/>
  <c r="AA128" i="7"/>
  <c r="U117" i="7"/>
  <c r="AC117" i="7" s="1"/>
  <c r="AD117" i="7" s="1"/>
  <c r="N117" i="7"/>
  <c r="Z117" i="7" s="1"/>
  <c r="AA173" i="7"/>
  <c r="U173" i="7"/>
  <c r="AC173" i="7" s="1"/>
  <c r="AA139" i="7"/>
  <c r="AB139" i="7" s="1"/>
  <c r="U139" i="7"/>
  <c r="BE109" i="7"/>
  <c r="N94" i="7"/>
  <c r="Z94" i="7" s="1"/>
  <c r="U94" i="7"/>
  <c r="BF94" i="7" s="1"/>
  <c r="AC85" i="7"/>
  <c r="AD85" i="7" s="1"/>
  <c r="BD85" i="7"/>
  <c r="BE85" i="7"/>
  <c r="BC85" i="7"/>
  <c r="BB85" i="7"/>
  <c r="AZ85" i="7"/>
  <c r="AA30" i="7"/>
  <c r="AB30" i="7" s="1"/>
  <c r="U30" i="7"/>
  <c r="AG49" i="7"/>
  <c r="AK49" i="7" s="1"/>
  <c r="T22" i="7"/>
  <c r="T57" i="7"/>
  <c r="T58" i="7"/>
  <c r="T63" i="7"/>
  <c r="T83" i="7"/>
  <c r="T101" i="7"/>
  <c r="T118" i="7"/>
  <c r="T135" i="7"/>
  <c r="T175" i="7"/>
  <c r="T177" i="7"/>
  <c r="X85" i="7"/>
  <c r="AY85" i="7"/>
  <c r="BF85" i="7"/>
  <c r="BG85" i="7"/>
  <c r="BH85" i="7"/>
  <c r="T183" i="7"/>
  <c r="S183" i="7"/>
  <c r="BF174" i="7"/>
  <c r="BC174" i="7"/>
  <c r="BB174" i="7"/>
  <c r="AZ174" i="7"/>
  <c r="U167" i="7"/>
  <c r="AA167" i="7"/>
  <c r="AA145" i="7"/>
  <c r="U145" i="7"/>
  <c r="U132" i="7"/>
  <c r="AA132" i="7"/>
  <c r="BC130" i="7"/>
  <c r="AI157" i="7"/>
  <c r="AJ157" i="7" s="1"/>
  <c r="AA150" i="7"/>
  <c r="AB150" i="7" s="1"/>
  <c r="U150" i="7"/>
  <c r="U106" i="7"/>
  <c r="AA106" i="7"/>
  <c r="AH85" i="7"/>
  <c r="AA82" i="7"/>
  <c r="U82" i="7"/>
  <c r="AA42" i="7"/>
  <c r="AB42" i="7" s="1"/>
  <c r="U42" i="7"/>
  <c r="AA38" i="7"/>
  <c r="AB38" i="7" s="1"/>
  <c r="U38" i="7"/>
  <c r="AH183" i="7"/>
  <c r="AI183" i="7" s="1"/>
  <c r="AG183" i="7"/>
  <c r="AC164" i="7"/>
  <c r="AD164" i="7" s="1"/>
  <c r="AE164" i="7" s="1"/>
  <c r="AB164" i="7"/>
  <c r="AC160" i="7"/>
  <c r="AD160" i="7" s="1"/>
  <c r="AB160" i="7"/>
  <c r="AA149" i="7"/>
  <c r="U149" i="7"/>
  <c r="N44" i="7"/>
  <c r="U44" i="7"/>
  <c r="T186" i="7"/>
  <c r="U114" i="7"/>
  <c r="U98" i="7"/>
  <c r="AC98" i="7" s="1"/>
  <c r="AD98" i="7" s="1"/>
  <c r="AC48" i="7"/>
  <c r="AD48" i="7" s="1"/>
  <c r="AE48" i="7" s="1"/>
  <c r="U65" i="7"/>
  <c r="AC65" i="7" s="1"/>
  <c r="AD65" i="7" s="1"/>
  <c r="T185" i="7"/>
  <c r="U122" i="7"/>
  <c r="U110" i="7"/>
  <c r="AC110" i="7" s="1"/>
  <c r="AD110" i="7" s="1"/>
  <c r="AB48" i="7"/>
  <c r="AG24" i="4"/>
  <c r="AH24" i="4" s="1"/>
  <c r="AL24" i="4"/>
  <c r="AB25" i="4"/>
  <c r="AZ14" i="4"/>
  <c r="S23" i="4"/>
  <c r="Y23" i="4" s="1"/>
  <c r="W23" i="4"/>
  <c r="Y22" i="4"/>
  <c r="AM15" i="4"/>
  <c r="AM70" i="4" s="1"/>
  <c r="AM14" i="4"/>
  <c r="AN14" i="4" s="1"/>
  <c r="AI17" i="4"/>
  <c r="W14" i="4"/>
  <c r="AZ13" i="4"/>
  <c r="AL27" i="4"/>
  <c r="BE27" i="4"/>
  <c r="BD27" i="4"/>
  <c r="BC27" i="4"/>
  <c r="BB27" i="4"/>
  <c r="BA27" i="4"/>
  <c r="AG27" i="4"/>
  <c r="AH27" i="4" s="1"/>
  <c r="AG26" i="4"/>
  <c r="AH26" i="4" s="1"/>
  <c r="BA26" i="4"/>
  <c r="AB26" i="4"/>
  <c r="AL26" i="4"/>
  <c r="AG21" i="4"/>
  <c r="AH21" i="4" s="1"/>
  <c r="Y20" i="4"/>
  <c r="AD16" i="4"/>
  <c r="AQ16" i="4" s="1"/>
  <c r="AN12" i="4"/>
  <c r="AI12" i="4"/>
  <c r="AD12" i="4"/>
  <c r="AQ12" i="4" s="1"/>
  <c r="AR12" i="4" s="1"/>
  <c r="AD22" i="4"/>
  <c r="AB24" i="4"/>
  <c r="W15" i="4"/>
  <c r="L70" i="4"/>
  <c r="O15" i="4"/>
  <c r="L35" i="4"/>
  <c r="L50" i="4" s="1"/>
  <c r="AH190" i="7"/>
  <c r="AI190" i="7" s="1"/>
  <c r="AJ190" i="7" s="1"/>
  <c r="AG190" i="7"/>
  <c r="AK190" i="7" s="1"/>
  <c r="AC190" i="7"/>
  <c r="S36" i="7"/>
  <c r="T36" i="7"/>
  <c r="S44" i="7"/>
  <c r="T44" i="7"/>
  <c r="S52" i="7"/>
  <c r="T52" i="7"/>
  <c r="S62" i="7"/>
  <c r="T62" i="7"/>
  <c r="S94" i="7"/>
  <c r="T94" i="7"/>
  <c r="S119" i="7"/>
  <c r="T119" i="7"/>
  <c r="T121" i="7"/>
  <c r="S121" i="7"/>
  <c r="T178" i="7"/>
  <c r="S178" i="7"/>
  <c r="T105" i="7"/>
  <c r="T13" i="7"/>
  <c r="S20" i="7"/>
  <c r="T20" i="7"/>
  <c r="S32" i="7"/>
  <c r="T32" i="7"/>
  <c r="S40" i="7"/>
  <c r="T40" i="7"/>
  <c r="S48" i="7"/>
  <c r="T48" i="7"/>
  <c r="T68" i="7"/>
  <c r="S68" i="7"/>
  <c r="S80" i="7"/>
  <c r="T80" i="7"/>
  <c r="T116" i="7"/>
  <c r="S116" i="7"/>
  <c r="S157" i="7"/>
  <c r="T157" i="7"/>
  <c r="S59" i="7"/>
  <c r="T59" i="7"/>
  <c r="T89" i="7"/>
  <c r="S89" i="7"/>
  <c r="S140" i="7"/>
  <c r="T140" i="7"/>
  <c r="S176" i="7"/>
  <c r="T176" i="7"/>
  <c r="T124" i="7"/>
  <c r="S29" i="7"/>
  <c r="T29" i="7"/>
  <c r="S77" i="7"/>
  <c r="T77" i="7"/>
  <c r="S113" i="7"/>
  <c r="T113" i="7"/>
  <c r="S128" i="7"/>
  <c r="T128" i="7"/>
  <c r="S144" i="7"/>
  <c r="T144" i="7"/>
  <c r="S156" i="7"/>
  <c r="T156" i="7"/>
  <c r="AA151" i="7"/>
  <c r="U151" i="7"/>
  <c r="AB63" i="7"/>
  <c r="N15" i="7"/>
  <c r="U15" i="7"/>
  <c r="AH15" i="7" s="1"/>
  <c r="T123" i="7"/>
  <c r="T50" i="7"/>
  <c r="T38" i="7"/>
  <c r="T54" i="7"/>
  <c r="S18" i="7"/>
  <c r="S27" i="7"/>
  <c r="S64" i="7"/>
  <c r="S70" i="7"/>
  <c r="S107" i="7"/>
  <c r="T137" i="7"/>
  <c r="T146" i="7"/>
  <c r="T154" i="7"/>
  <c r="U144" i="7"/>
  <c r="AA144" i="7"/>
  <c r="N99" i="7"/>
  <c r="U99" i="7"/>
  <c r="AC99" i="7" s="1"/>
  <c r="AD99" i="7" s="1"/>
  <c r="AB87" i="7"/>
  <c r="BA86" i="7"/>
  <c r="AZ86" i="7"/>
  <c r="AF186" i="7"/>
  <c r="U186" i="7"/>
  <c r="AA179" i="7"/>
  <c r="U179" i="7"/>
  <c r="N119" i="7"/>
  <c r="U119" i="7"/>
  <c r="AA135" i="7"/>
  <c r="U135" i="7"/>
  <c r="AC122" i="7"/>
  <c r="AD122" i="7" s="1"/>
  <c r="AB122" i="7"/>
  <c r="AA104" i="7"/>
  <c r="U104" i="7"/>
  <c r="AB70" i="7"/>
  <c r="AF185" i="7"/>
  <c r="U185" i="7"/>
  <c r="AC158" i="7"/>
  <c r="AD158" i="7" s="1"/>
  <c r="AB158" i="7"/>
  <c r="AB140" i="7"/>
  <c r="AB123" i="7"/>
  <c r="BE73" i="7"/>
  <c r="BH73" i="7"/>
  <c r="BD73" i="7"/>
  <c r="BC73" i="7"/>
  <c r="BB73" i="7"/>
  <c r="AZ73" i="7"/>
  <c r="AY73" i="7"/>
  <c r="AB71" i="7"/>
  <c r="AC184" i="7"/>
  <c r="BF178" i="7"/>
  <c r="BE178" i="7"/>
  <c r="BC178" i="7"/>
  <c r="BA178" i="7"/>
  <c r="AW178" i="7"/>
  <c r="BH178" i="7"/>
  <c r="BD178" i="7"/>
  <c r="AZ178" i="7"/>
  <c r="AB153" i="7"/>
  <c r="U152" i="7"/>
  <c r="AA152" i="7"/>
  <c r="AB91" i="7"/>
  <c r="N81" i="7"/>
  <c r="U81" i="7"/>
  <c r="AC81" i="7" s="1"/>
  <c r="AD81" i="7" s="1"/>
  <c r="AB79" i="7"/>
  <c r="AB177" i="7"/>
  <c r="AA175" i="7"/>
  <c r="U175" i="7"/>
  <c r="AB173" i="7"/>
  <c r="BG169" i="7"/>
  <c r="U168" i="7"/>
  <c r="AA168" i="7"/>
  <c r="AA155" i="7"/>
  <c r="U155" i="7"/>
  <c r="AC145" i="7"/>
  <c r="AD145" i="7" s="1"/>
  <c r="AB145" i="7"/>
  <c r="AC138" i="7"/>
  <c r="AD138" i="7" s="1"/>
  <c r="AA127" i="7"/>
  <c r="U127" i="7"/>
  <c r="AB107" i="7"/>
  <c r="AA92" i="7"/>
  <c r="U92" i="7"/>
  <c r="AI85" i="7"/>
  <c r="AJ85" i="7" s="1"/>
  <c r="AB84" i="7"/>
  <c r="AB83" i="7"/>
  <c r="U176" i="7"/>
  <c r="AA176" i="7"/>
  <c r="AC166" i="7"/>
  <c r="AB166" i="7"/>
  <c r="U156" i="7"/>
  <c r="AA156" i="7"/>
  <c r="U148" i="7"/>
  <c r="AA148" i="7"/>
  <c r="AC147" i="7"/>
  <c r="AD147" i="7" s="1"/>
  <c r="U136" i="7"/>
  <c r="AA136" i="7"/>
  <c r="AA134" i="7"/>
  <c r="U134" i="7"/>
  <c r="AB115" i="7"/>
  <c r="AB110" i="7"/>
  <c r="AB103" i="7"/>
  <c r="BE102" i="7"/>
  <c r="AB88" i="7"/>
  <c r="AB67" i="7"/>
  <c r="AA121" i="7"/>
  <c r="U121" i="7"/>
  <c r="AB118" i="7"/>
  <c r="AA114" i="7"/>
  <c r="N111" i="7"/>
  <c r="U111" i="7"/>
  <c r="AA100" i="7"/>
  <c r="U100" i="7"/>
  <c r="AB94" i="7"/>
  <c r="U93" i="7"/>
  <c r="AC93" i="7" s="1"/>
  <c r="AD93" i="7" s="1"/>
  <c r="AB75" i="7"/>
  <c r="N23" i="7"/>
  <c r="U23" i="7"/>
  <c r="BE174" i="7"/>
  <c r="AB165" i="7"/>
  <c r="AB138" i="7"/>
  <c r="AA129" i="7"/>
  <c r="AB128" i="7"/>
  <c r="AB120" i="7"/>
  <c r="AC119" i="7"/>
  <c r="AD119" i="7" s="1"/>
  <c r="AA113" i="7"/>
  <c r="U113" i="7"/>
  <c r="N103" i="7"/>
  <c r="U103" i="7"/>
  <c r="AC103" i="7" s="1"/>
  <c r="AD103" i="7" s="1"/>
  <c r="N95" i="7"/>
  <c r="U95" i="7"/>
  <c r="AC95" i="7" s="1"/>
  <c r="AD95" i="7" s="1"/>
  <c r="AB93" i="7"/>
  <c r="N87" i="7"/>
  <c r="U87" i="7"/>
  <c r="AB66" i="7"/>
  <c r="AB53" i="7"/>
  <c r="AB112" i="7"/>
  <c r="AA105" i="7"/>
  <c r="U105" i="7"/>
  <c r="AA96" i="7"/>
  <c r="U96" i="7"/>
  <c r="AB95" i="7"/>
  <c r="AA89" i="7"/>
  <c r="U89" i="7"/>
  <c r="AB74" i="7"/>
  <c r="AB59" i="7"/>
  <c r="AB54" i="7"/>
  <c r="AA36" i="7"/>
  <c r="U36" i="7"/>
  <c r="N31" i="7"/>
  <c r="U31" i="7"/>
  <c r="AH31" i="7" s="1"/>
  <c r="AB27" i="7"/>
  <c r="AH23" i="7"/>
  <c r="AC102" i="7"/>
  <c r="AD102" i="7" s="1"/>
  <c r="U101" i="7"/>
  <c r="AH101" i="7" s="1"/>
  <c r="U97" i="7"/>
  <c r="AH97" i="7" s="1"/>
  <c r="N91" i="7"/>
  <c r="U91" i="7"/>
  <c r="AC91" i="7" s="1"/>
  <c r="AD91" i="7" s="1"/>
  <c r="U90" i="7"/>
  <c r="AH90" i="7" s="1"/>
  <c r="AB81" i="7"/>
  <c r="U80" i="7"/>
  <c r="AC80" i="7" s="1"/>
  <c r="AD80" i="7" s="1"/>
  <c r="AA77" i="7"/>
  <c r="U77" i="7"/>
  <c r="AC73" i="7"/>
  <c r="AD73" i="7" s="1"/>
  <c r="AB73" i="7"/>
  <c r="U72" i="7"/>
  <c r="AA69" i="7"/>
  <c r="U69" i="7"/>
  <c r="AB65" i="7"/>
  <c r="U64" i="7"/>
  <c r="AA60" i="7"/>
  <c r="U60" i="7"/>
  <c r="AB57" i="7"/>
  <c r="N49" i="7"/>
  <c r="U49" i="7"/>
  <c r="AC49" i="7" s="1"/>
  <c r="AD49" i="7" s="1"/>
  <c r="N123" i="7"/>
  <c r="U123" i="7"/>
  <c r="AC123" i="7" s="1"/>
  <c r="AD123" i="7" s="1"/>
  <c r="N115" i="7"/>
  <c r="U115" i="7"/>
  <c r="N107" i="7"/>
  <c r="U107" i="7"/>
  <c r="AC107" i="7" s="1"/>
  <c r="AD107" i="7" s="1"/>
  <c r="AC90" i="7"/>
  <c r="AD90" i="7" s="1"/>
  <c r="N83" i="7"/>
  <c r="U83" i="7"/>
  <c r="AB80" i="7"/>
  <c r="N74" i="7"/>
  <c r="U74" i="7"/>
  <c r="AB72" i="7"/>
  <c r="AC72" i="7"/>
  <c r="AD72" i="7" s="1"/>
  <c r="N66" i="7"/>
  <c r="U66" i="7"/>
  <c r="AC66" i="7" s="1"/>
  <c r="AD66" i="7" s="1"/>
  <c r="AB64" i="7"/>
  <c r="N57" i="7"/>
  <c r="U57" i="7"/>
  <c r="N45" i="7"/>
  <c r="U45" i="7"/>
  <c r="AC45" i="7" s="1"/>
  <c r="AD45" i="7" s="1"/>
  <c r="U124" i="7"/>
  <c r="U120" i="7"/>
  <c r="AC120" i="7" s="1"/>
  <c r="AD120" i="7" s="1"/>
  <c r="U116" i="7"/>
  <c r="AH116" i="7" s="1"/>
  <c r="U112" i="7"/>
  <c r="AC112" i="7" s="1"/>
  <c r="AD112" i="7" s="1"/>
  <c r="U108" i="7"/>
  <c r="U88" i="7"/>
  <c r="AC88" i="7" s="1"/>
  <c r="AD88" i="7" s="1"/>
  <c r="U84" i="7"/>
  <c r="AC84" i="7" s="1"/>
  <c r="AD84" i="7" s="1"/>
  <c r="N78" i="7"/>
  <c r="U78" i="7"/>
  <c r="AH78" i="7" s="1"/>
  <c r="U76" i="7"/>
  <c r="AH76" i="7" s="1"/>
  <c r="N70" i="7"/>
  <c r="U70" i="7"/>
  <c r="AC70" i="7" s="1"/>
  <c r="AD70" i="7" s="1"/>
  <c r="U68" i="7"/>
  <c r="N62" i="7"/>
  <c r="U62" i="7"/>
  <c r="U61" i="7"/>
  <c r="AC61" i="7" s="1"/>
  <c r="AD61" i="7" s="1"/>
  <c r="U55" i="7"/>
  <c r="AA55" i="7"/>
  <c r="AB35" i="7"/>
  <c r="AB17" i="7"/>
  <c r="AB58" i="7"/>
  <c r="AB41" i="7"/>
  <c r="AB29" i="7"/>
  <c r="U79" i="7"/>
  <c r="AC79" i="7" s="1"/>
  <c r="AD79" i="7" s="1"/>
  <c r="U75" i="7"/>
  <c r="U71" i="7"/>
  <c r="U67" i="7"/>
  <c r="AC67" i="7" s="1"/>
  <c r="AD67" i="7" s="1"/>
  <c r="U63" i="7"/>
  <c r="AC63" i="7" s="1"/>
  <c r="AD63" i="7" s="1"/>
  <c r="U56" i="7"/>
  <c r="AC56" i="7" s="1"/>
  <c r="AD56" i="7" s="1"/>
  <c r="AB52" i="7"/>
  <c r="N39" i="7"/>
  <c r="U39" i="7"/>
  <c r="AC39" i="7" s="1"/>
  <c r="AD39" i="7" s="1"/>
  <c r="AB25" i="7"/>
  <c r="AA20" i="7"/>
  <c r="U20" i="7"/>
  <c r="AB56" i="7"/>
  <c r="N53" i="7"/>
  <c r="U53" i="7"/>
  <c r="AC53" i="7" s="1"/>
  <c r="AD53" i="7" s="1"/>
  <c r="U51" i="7"/>
  <c r="AA51" i="7"/>
  <c r="AA50" i="7"/>
  <c r="U50" i="7"/>
  <c r="U47" i="7"/>
  <c r="AA47" i="7"/>
  <c r="AA46" i="7"/>
  <c r="U46" i="7"/>
  <c r="AB33" i="7"/>
  <c r="AA28" i="7"/>
  <c r="U28" i="7"/>
  <c r="AB19" i="7"/>
  <c r="U58" i="7"/>
  <c r="AC58" i="7" s="1"/>
  <c r="AD58" i="7" s="1"/>
  <c r="U54" i="7"/>
  <c r="AC54" i="7" s="1"/>
  <c r="AD54" i="7" s="1"/>
  <c r="AB40" i="7"/>
  <c r="N35" i="7"/>
  <c r="U35" i="7"/>
  <c r="AB32" i="7"/>
  <c r="N27" i="7"/>
  <c r="U27" i="7"/>
  <c r="AC27" i="7" s="1"/>
  <c r="AD27" i="7" s="1"/>
  <c r="AB24" i="7"/>
  <c r="N19" i="7"/>
  <c r="U19" i="7"/>
  <c r="AC16" i="7"/>
  <c r="AD16" i="7" s="1"/>
  <c r="AB16" i="7"/>
  <c r="N37" i="7"/>
  <c r="U37" i="7"/>
  <c r="AM37" i="7" s="1"/>
  <c r="AB34" i="7"/>
  <c r="N29" i="7"/>
  <c r="U29" i="7"/>
  <c r="AB26" i="7"/>
  <c r="AC26" i="7"/>
  <c r="AD26" i="7" s="1"/>
  <c r="N21" i="7"/>
  <c r="U21" i="7"/>
  <c r="AH21" i="7" s="1"/>
  <c r="N13" i="7"/>
  <c r="U13" i="7"/>
  <c r="AB12" i="7"/>
  <c r="U59" i="7"/>
  <c r="AC59" i="7" s="1"/>
  <c r="AD59" i="7" s="1"/>
  <c r="U43" i="7"/>
  <c r="AC43" i="7" s="1"/>
  <c r="AD43" i="7" s="1"/>
  <c r="N41" i="7"/>
  <c r="U41" i="7"/>
  <c r="AC41" i="7" s="1"/>
  <c r="AD41" i="7" s="1"/>
  <c r="U40" i="7"/>
  <c r="AC40" i="7" s="1"/>
  <c r="AD40" i="7" s="1"/>
  <c r="N33" i="7"/>
  <c r="U33" i="7"/>
  <c r="U32" i="7"/>
  <c r="N25" i="7"/>
  <c r="U25" i="7"/>
  <c r="AC25" i="7" s="1"/>
  <c r="AD25" i="7" s="1"/>
  <c r="U24" i="7"/>
  <c r="AB22" i="7"/>
  <c r="AC22" i="7"/>
  <c r="AD22" i="7" s="1"/>
  <c r="N17" i="7"/>
  <c r="U17" i="7"/>
  <c r="AH187" i="7"/>
  <c r="AG187" i="7"/>
  <c r="AC187" i="7"/>
  <c r="AH188" i="7"/>
  <c r="AI188" i="7" s="1"/>
  <c r="AJ188" i="7" s="1"/>
  <c r="AG188" i="7"/>
  <c r="U189" i="7"/>
  <c r="AC188" i="7"/>
  <c r="E16" i="9" l="1"/>
  <c r="AB178" i="7"/>
  <c r="AM13" i="7"/>
  <c r="AC139" i="7"/>
  <c r="AD139" i="7" s="1"/>
  <c r="AC137" i="7"/>
  <c r="AD137" i="7" s="1"/>
  <c r="AV157" i="7"/>
  <c r="AV129" i="7"/>
  <c r="AM102" i="7"/>
  <c r="AC174" i="7"/>
  <c r="AD174" i="7" s="1"/>
  <c r="AV140" i="7"/>
  <c r="AK130" i="7"/>
  <c r="AM130" i="7" s="1"/>
  <c r="AK188" i="7"/>
  <c r="AM188" i="7" s="1"/>
  <c r="AN188" i="7" s="1"/>
  <c r="AO188" i="7" s="1"/>
  <c r="BG185" i="7"/>
  <c r="BC185" i="7"/>
  <c r="AY185" i="7"/>
  <c r="BF185" i="7"/>
  <c r="BB185" i="7"/>
  <c r="AX185" i="7"/>
  <c r="BE185" i="7"/>
  <c r="BA185" i="7"/>
  <c r="AW185" i="7"/>
  <c r="BH185" i="7"/>
  <c r="BD185" i="7"/>
  <c r="AZ185" i="7"/>
  <c r="AK23" i="7"/>
  <c r="AM23" i="7" s="1"/>
  <c r="AL23" i="7"/>
  <c r="AL31" i="7"/>
  <c r="AM31" i="7"/>
  <c r="AK119" i="7"/>
  <c r="AM119" i="7" s="1"/>
  <c r="BD177" i="7"/>
  <c r="BD86" i="7"/>
  <c r="BH86" i="7"/>
  <c r="AC82" i="7"/>
  <c r="AD82" i="7" s="1"/>
  <c r="BA130" i="7"/>
  <c r="BE130" i="7"/>
  <c r="BG109" i="7"/>
  <c r="BC109" i="7"/>
  <c r="AL108" i="7"/>
  <c r="AK108" i="7"/>
  <c r="AM108" i="7" s="1"/>
  <c r="AK78" i="7"/>
  <c r="AM78" i="7" s="1"/>
  <c r="AK68" i="7"/>
  <c r="AM68" i="7" s="1"/>
  <c r="AK191" i="7"/>
  <c r="AM191" i="7" s="1"/>
  <c r="AN191" i="7" s="1"/>
  <c r="AO191" i="7" s="1"/>
  <c r="AL191" i="7"/>
  <c r="AH102" i="7"/>
  <c r="AB137" i="7"/>
  <c r="BD173" i="7"/>
  <c r="AC94" i="7"/>
  <c r="AD94" i="7" s="1"/>
  <c r="BD117" i="7"/>
  <c r="BH177" i="7"/>
  <c r="AC177" i="7"/>
  <c r="AD177" i="7" s="1"/>
  <c r="AC154" i="7"/>
  <c r="AD154" i="7" s="1"/>
  <c r="AE154" i="7" s="1"/>
  <c r="AX86" i="7"/>
  <c r="BG86" i="7"/>
  <c r="BE86" i="7"/>
  <c r="BD130" i="7"/>
  <c r="BH130" i="7"/>
  <c r="BD174" i="7"/>
  <c r="BG174" i="7"/>
  <c r="AV85" i="7"/>
  <c r="BD109" i="7"/>
  <c r="BF139" i="7"/>
  <c r="BB139" i="7"/>
  <c r="AX139" i="7"/>
  <c r="BE139" i="7"/>
  <c r="BA139" i="7"/>
  <c r="AW139" i="7"/>
  <c r="BH139" i="7"/>
  <c r="BD139" i="7"/>
  <c r="AZ139" i="7"/>
  <c r="AY139" i="7"/>
  <c r="BG139" i="7"/>
  <c r="BC139" i="7"/>
  <c r="BG184" i="7"/>
  <c r="BC184" i="7"/>
  <c r="AY184" i="7"/>
  <c r="BF184" i="7"/>
  <c r="BB184" i="7"/>
  <c r="AX184" i="7"/>
  <c r="BE184" i="7"/>
  <c r="BA184" i="7"/>
  <c r="AW184" i="7"/>
  <c r="BH184" i="7"/>
  <c r="BD184" i="7"/>
  <c r="AZ184" i="7"/>
  <c r="AL61" i="7"/>
  <c r="AM61" i="7"/>
  <c r="AC14" i="7"/>
  <c r="AD14" i="7" s="1"/>
  <c r="AE14" i="7" s="1"/>
  <c r="X86" i="7"/>
  <c r="AL99" i="7"/>
  <c r="AM99" i="7"/>
  <c r="AC159" i="7"/>
  <c r="AD159" i="7" s="1"/>
  <c r="AK86" i="7"/>
  <c r="AM86" i="7" s="1"/>
  <c r="AL86" i="7"/>
  <c r="AM43" i="7"/>
  <c r="AW125" i="7"/>
  <c r="AX125" i="7"/>
  <c r="AL101" i="7"/>
  <c r="AM101" i="7"/>
  <c r="AN85" i="7"/>
  <c r="AO85" i="7" s="1"/>
  <c r="AM62" i="7"/>
  <c r="BH134" i="7"/>
  <c r="BD134" i="7"/>
  <c r="AZ134" i="7"/>
  <c r="BG134" i="7"/>
  <c r="BC134" i="7"/>
  <c r="AY134" i="7"/>
  <c r="BF134" i="7"/>
  <c r="BB134" i="7"/>
  <c r="AX134" i="7"/>
  <c r="BA134" i="7"/>
  <c r="AW134" i="7"/>
  <c r="BE134" i="7"/>
  <c r="AL39" i="7"/>
  <c r="AM39" i="7"/>
  <c r="BH109" i="7"/>
  <c r="AY109" i="7"/>
  <c r="AW109" i="7"/>
  <c r="X109" i="7"/>
  <c r="AK111" i="7"/>
  <c r="AM111" i="7" s="1"/>
  <c r="AK90" i="7"/>
  <c r="AM90" i="7" s="1"/>
  <c r="AL90" i="7"/>
  <c r="AL190" i="7"/>
  <c r="AM190" i="7"/>
  <c r="AN190" i="7" s="1"/>
  <c r="AO190" i="7" s="1"/>
  <c r="AC149" i="7"/>
  <c r="AD149" i="7" s="1"/>
  <c r="AC130" i="7"/>
  <c r="AD130" i="7" s="1"/>
  <c r="AK125" i="7"/>
  <c r="AM125" i="7" s="1"/>
  <c r="AL76" i="7"/>
  <c r="AM116" i="7"/>
  <c r="AM45" i="7"/>
  <c r="BG189" i="7"/>
  <c r="BC189" i="7"/>
  <c r="AY189" i="7"/>
  <c r="BF189" i="7"/>
  <c r="BB189" i="7"/>
  <c r="AX189" i="7"/>
  <c r="BE189" i="7"/>
  <c r="BA189" i="7"/>
  <c r="AW189" i="7"/>
  <c r="BH189" i="7"/>
  <c r="BD189" i="7"/>
  <c r="AZ189" i="7"/>
  <c r="AK187" i="7"/>
  <c r="AM187" i="7" s="1"/>
  <c r="AC38" i="7"/>
  <c r="AD38" i="7" s="1"/>
  <c r="AC31" i="7"/>
  <c r="AD31" i="7" s="1"/>
  <c r="AH86" i="7"/>
  <c r="AC86" i="7"/>
  <c r="AD86" i="7" s="1"/>
  <c r="AI86" i="7" s="1"/>
  <c r="AJ86" i="7" s="1"/>
  <c r="BF136" i="7"/>
  <c r="BB136" i="7"/>
  <c r="AX136" i="7"/>
  <c r="BE136" i="7"/>
  <c r="BA136" i="7"/>
  <c r="AW136" i="7"/>
  <c r="BH136" i="7"/>
  <c r="BD136" i="7"/>
  <c r="AZ136" i="7"/>
  <c r="BC136" i="7"/>
  <c r="AY136" i="7"/>
  <c r="BG136" i="7"/>
  <c r="BF135" i="7"/>
  <c r="BB135" i="7"/>
  <c r="BE135" i="7"/>
  <c r="BH135" i="7"/>
  <c r="BD135" i="7"/>
  <c r="AZ135" i="7"/>
  <c r="BA135" i="7"/>
  <c r="AY135" i="7"/>
  <c r="BG135" i="7"/>
  <c r="AX135" i="7"/>
  <c r="BC135" i="7"/>
  <c r="AW135" i="7"/>
  <c r="AH119" i="7"/>
  <c r="BG186" i="7"/>
  <c r="BC186" i="7"/>
  <c r="AY186" i="7"/>
  <c r="BF186" i="7"/>
  <c r="BB186" i="7"/>
  <c r="AX186" i="7"/>
  <c r="BE186" i="7"/>
  <c r="BA186" i="7"/>
  <c r="AW186" i="7"/>
  <c r="AZ186" i="7"/>
  <c r="BH186" i="7"/>
  <c r="BH193" i="7" s="1"/>
  <c r="BD186" i="7"/>
  <c r="BB86" i="7"/>
  <c r="AW86" i="7"/>
  <c r="BF86" i="7"/>
  <c r="AV86" i="7" s="1"/>
  <c r="AC109" i="7"/>
  <c r="AD109" i="7" s="1"/>
  <c r="AI109" i="7" s="1"/>
  <c r="AH109" i="7"/>
  <c r="AJ183" i="7"/>
  <c r="AN183" i="7"/>
  <c r="AC106" i="7"/>
  <c r="AD106" i="7" s="1"/>
  <c r="BA174" i="7"/>
  <c r="AX109" i="7"/>
  <c r="AL49" i="7"/>
  <c r="AM49" i="7"/>
  <c r="AE85" i="7"/>
  <c r="BA109" i="7"/>
  <c r="AK184" i="7"/>
  <c r="AM184" i="7" s="1"/>
  <c r="AZ109" i="7"/>
  <c r="AL97" i="7"/>
  <c r="AM97" i="7"/>
  <c r="BF137" i="7"/>
  <c r="BB137" i="7"/>
  <c r="AX137" i="7"/>
  <c r="BE137" i="7"/>
  <c r="BA137" i="7"/>
  <c r="AW137" i="7"/>
  <c r="BH137" i="7"/>
  <c r="BD137" i="7"/>
  <c r="AZ137" i="7"/>
  <c r="BG137" i="7"/>
  <c r="BC137" i="7"/>
  <c r="AY137" i="7"/>
  <c r="AI125" i="7"/>
  <c r="AJ125" i="7" s="1"/>
  <c r="AV160" i="7"/>
  <c r="AK157" i="7"/>
  <c r="AM157" i="7" s="1"/>
  <c r="AN157" i="7" s="1"/>
  <c r="AO157" i="7" s="1"/>
  <c r="AM21" i="7"/>
  <c r="AK109" i="7"/>
  <c r="AM109" i="7" s="1"/>
  <c r="AK98" i="7"/>
  <c r="AM98" i="7" s="1"/>
  <c r="AL98" i="7"/>
  <c r="AM124" i="7"/>
  <c r="AM117" i="7"/>
  <c r="AM15" i="7"/>
  <c r="AL102" i="7"/>
  <c r="AK47" i="5"/>
  <c r="AA47" i="5"/>
  <c r="BE47" i="5"/>
  <c r="AF47" i="5"/>
  <c r="AG47" i="5" s="1"/>
  <c r="BH47" i="5"/>
  <c r="BK47" i="5"/>
  <c r="BI47" i="5"/>
  <c r="BF47" i="5"/>
  <c r="BC47" i="5"/>
  <c r="BA47" i="5"/>
  <c r="BD47" i="5"/>
  <c r="BB47" i="5"/>
  <c r="BJ47" i="5"/>
  <c r="BG47" i="5"/>
  <c r="AZ47" i="5"/>
  <c r="AL49" i="5"/>
  <c r="AM49" i="5" s="1"/>
  <c r="AH49" i="5"/>
  <c r="BJ42" i="5"/>
  <c r="BG42" i="5"/>
  <c r="BG55" i="5" s="1"/>
  <c r="M12" i="9" s="1"/>
  <c r="BD42" i="5"/>
  <c r="BB42" i="5"/>
  <c r="AK42" i="5"/>
  <c r="X55" i="5"/>
  <c r="BK42" i="5"/>
  <c r="BI42" i="5"/>
  <c r="BF42" i="5"/>
  <c r="BF55" i="5" s="1"/>
  <c r="L12" i="9" s="1"/>
  <c r="BC42" i="5"/>
  <c r="AF42" i="5"/>
  <c r="AA42" i="5"/>
  <c r="BE42" i="5"/>
  <c r="BH42" i="5"/>
  <c r="BA42" i="5"/>
  <c r="BA55" i="5" s="1"/>
  <c r="G12" i="9" s="1"/>
  <c r="AZ42" i="5"/>
  <c r="AK45" i="5"/>
  <c r="BH45" i="5"/>
  <c r="BA45" i="5"/>
  <c r="AF45" i="5"/>
  <c r="AG45" i="5" s="1"/>
  <c r="AA45" i="5"/>
  <c r="BE45" i="5"/>
  <c r="BJ45" i="5"/>
  <c r="BG45" i="5"/>
  <c r="BD45" i="5"/>
  <c r="BB45" i="5"/>
  <c r="BC45" i="5"/>
  <c r="AZ45" i="5"/>
  <c r="AY45" i="5" s="1"/>
  <c r="BI45" i="5"/>
  <c r="BF45" i="5"/>
  <c r="BK45" i="5"/>
  <c r="AM52" i="5"/>
  <c r="AK43" i="5"/>
  <c r="AA43" i="5"/>
  <c r="BE43" i="5"/>
  <c r="AF43" i="5"/>
  <c r="AG43" i="5" s="1"/>
  <c r="BH43" i="5"/>
  <c r="BK43" i="5"/>
  <c r="BK55" i="5" s="1"/>
  <c r="Q12" i="9" s="1"/>
  <c r="BI43" i="5"/>
  <c r="BF43" i="5"/>
  <c r="BC43" i="5"/>
  <c r="AZ43" i="5"/>
  <c r="BD43" i="5"/>
  <c r="BJ43" i="5"/>
  <c r="BG43" i="5"/>
  <c r="BA43" i="5"/>
  <c r="BB43" i="5"/>
  <c r="BB55" i="5" s="1"/>
  <c r="H12" i="9" s="1"/>
  <c r="AL44" i="5"/>
  <c r="AM44" i="5" s="1"/>
  <c r="AH44" i="5"/>
  <c r="BE55" i="5"/>
  <c r="K12" i="9" s="1"/>
  <c r="BJ46" i="5"/>
  <c r="BJ55" i="5" s="1"/>
  <c r="P12" i="9" s="1"/>
  <c r="BG46" i="5"/>
  <c r="BD46" i="5"/>
  <c r="BB46" i="5"/>
  <c r="AK46" i="5"/>
  <c r="BK46" i="5"/>
  <c r="BI46" i="5"/>
  <c r="BF46" i="5"/>
  <c r="BC46" i="5"/>
  <c r="AF46" i="5"/>
  <c r="AG46" i="5" s="1"/>
  <c r="AA46" i="5"/>
  <c r="BE46" i="5"/>
  <c r="BH46" i="5"/>
  <c r="AZ46" i="5"/>
  <c r="BA46" i="5"/>
  <c r="AC55" i="5"/>
  <c r="AZ32" i="4"/>
  <c r="AZ29" i="4"/>
  <c r="AL21" i="4"/>
  <c r="AM21" i="4" s="1"/>
  <c r="BL58" i="4"/>
  <c r="BH58" i="4"/>
  <c r="BD58" i="4"/>
  <c r="BD62" i="4" s="1"/>
  <c r="I14" i="9" s="1"/>
  <c r="I10" i="9" s="1"/>
  <c r="BA58" i="4"/>
  <c r="BK58" i="4"/>
  <c r="BG58" i="4"/>
  <c r="BC58" i="4"/>
  <c r="BI58" i="4"/>
  <c r="BJ58" i="4"/>
  <c r="BF58" i="4"/>
  <c r="BB58" i="4"/>
  <c r="BB62" i="4" s="1"/>
  <c r="G14" i="9" s="1"/>
  <c r="G10" i="9" s="1"/>
  <c r="BE58" i="4"/>
  <c r="AB58" i="4"/>
  <c r="BG62" i="4"/>
  <c r="L14" i="9" s="1"/>
  <c r="L10" i="9" s="1"/>
  <c r="AH56" i="4"/>
  <c r="AM56" i="4" s="1"/>
  <c r="AG62" i="4"/>
  <c r="AZ60" i="4"/>
  <c r="AB62" i="4"/>
  <c r="BK62" i="4"/>
  <c r="P14" i="9" s="1"/>
  <c r="P10" i="9" s="1"/>
  <c r="BL62" i="4"/>
  <c r="Q14" i="9" s="1"/>
  <c r="Q10" i="9" s="1"/>
  <c r="BI62" i="4"/>
  <c r="N14" i="9" s="1"/>
  <c r="N10" i="9" s="1"/>
  <c r="BH62" i="4"/>
  <c r="M14" i="9" s="1"/>
  <c r="M10" i="9" s="1"/>
  <c r="AQ26" i="4"/>
  <c r="AM32" i="4"/>
  <c r="AI32" i="4"/>
  <c r="AZ59" i="4"/>
  <c r="AM29" i="4"/>
  <c r="AZ31" i="4"/>
  <c r="AL62" i="4"/>
  <c r="AZ56" i="4"/>
  <c r="BJ62" i="4"/>
  <c r="O14" i="9" s="1"/>
  <c r="O10" i="9" s="1"/>
  <c r="BF62" i="4"/>
  <c r="K14" i="9" s="1"/>
  <c r="K10" i="9" s="1"/>
  <c r="BE62" i="4"/>
  <c r="J14" i="9" s="1"/>
  <c r="J10" i="9" s="1"/>
  <c r="AM37" i="4"/>
  <c r="AM42" i="4" s="1"/>
  <c r="AD14" i="4"/>
  <c r="AQ14" i="4" s="1"/>
  <c r="AI14" i="4"/>
  <c r="AZ57" i="4"/>
  <c r="AZ30" i="4"/>
  <c r="AI30" i="4"/>
  <c r="AM30" i="4"/>
  <c r="AR37" i="4"/>
  <c r="AQ42" i="4"/>
  <c r="AM60" i="4"/>
  <c r="AI60" i="4"/>
  <c r="BC62" i="4"/>
  <c r="H14" i="9" s="1"/>
  <c r="H10" i="9" s="1"/>
  <c r="AZ55" i="4"/>
  <c r="BA62" i="4"/>
  <c r="F14" i="9" s="1"/>
  <c r="AI29" i="4"/>
  <c r="AN13" i="4"/>
  <c r="AI13" i="4"/>
  <c r="AD13" i="4"/>
  <c r="AQ13" i="4" s="1"/>
  <c r="AQ25" i="4"/>
  <c r="AG25" i="4"/>
  <c r="AH25" i="4" s="1"/>
  <c r="AM25" i="4" s="1"/>
  <c r="AQ21" i="4"/>
  <c r="AB21" i="4"/>
  <c r="AR16" i="4"/>
  <c r="AS16" i="4" s="1"/>
  <c r="AQ24" i="4"/>
  <c r="L64" i="4"/>
  <c r="L66" i="4" s="1"/>
  <c r="AL20" i="4"/>
  <c r="AQ20" i="4"/>
  <c r="AQ23" i="4"/>
  <c r="AN31" i="4"/>
  <c r="AR31" i="4"/>
  <c r="AS31" i="4" s="1"/>
  <c r="AQ22" i="4"/>
  <c r="AL25" i="4"/>
  <c r="AS12" i="4"/>
  <c r="AR17" i="4"/>
  <c r="AS17" i="4" s="1"/>
  <c r="I25" i="9"/>
  <c r="J25" i="9" s="1"/>
  <c r="BH16" i="7"/>
  <c r="BG16" i="7"/>
  <c r="AX16" i="7"/>
  <c r="BE16" i="7"/>
  <c r="BA16" i="7"/>
  <c r="AZ16" i="7"/>
  <c r="AW16" i="7"/>
  <c r="BD16" i="7"/>
  <c r="AY16" i="7"/>
  <c r="BF16" i="7"/>
  <c r="BC16" i="7"/>
  <c r="BB16" i="7"/>
  <c r="X16" i="7"/>
  <c r="BE12" i="7"/>
  <c r="BA12" i="7"/>
  <c r="AZ12" i="7"/>
  <c r="AW12" i="7"/>
  <c r="BF12" i="7"/>
  <c r="BD12" i="7"/>
  <c r="BC12" i="7"/>
  <c r="BB12" i="7"/>
  <c r="AY12" i="7"/>
  <c r="BG12" i="7"/>
  <c r="BH12" i="7"/>
  <c r="AX12" i="7"/>
  <c r="X12" i="7"/>
  <c r="AH98" i="7"/>
  <c r="BE94" i="7"/>
  <c r="AH184" i="7"/>
  <c r="AI184" i="7" s="1"/>
  <c r="AJ184" i="7" s="1"/>
  <c r="AB149" i="7"/>
  <c r="AV153" i="7"/>
  <c r="AE118" i="7"/>
  <c r="AV191" i="7"/>
  <c r="AV183" i="7"/>
  <c r="AC169" i="7"/>
  <c r="AD169" i="7" s="1"/>
  <c r="AC131" i="7"/>
  <c r="AD131" i="7" s="1"/>
  <c r="AW48" i="7"/>
  <c r="BF48" i="7"/>
  <c r="BD48" i="7"/>
  <c r="BC48" i="7"/>
  <c r="BB48" i="7"/>
  <c r="AY48" i="7"/>
  <c r="BH48" i="7"/>
  <c r="BG48" i="7"/>
  <c r="AX48" i="7"/>
  <c r="AZ48" i="7"/>
  <c r="X48" i="7"/>
  <c r="BA48" i="7"/>
  <c r="BE48" i="7"/>
  <c r="Z125" i="7"/>
  <c r="AE125" i="7"/>
  <c r="BF118" i="7"/>
  <c r="AY118" i="7"/>
  <c r="AW118" i="7"/>
  <c r="BG118" i="7"/>
  <c r="BE118" i="7"/>
  <c r="AZ118" i="7"/>
  <c r="AX118" i="7"/>
  <c r="BH118" i="7"/>
  <c r="BA118" i="7"/>
  <c r="X118" i="7"/>
  <c r="BB118" i="7"/>
  <c r="BD118" i="7"/>
  <c r="BC118" i="7"/>
  <c r="AY174" i="7"/>
  <c r="BH174" i="7"/>
  <c r="AX174" i="7"/>
  <c r="AW174" i="7"/>
  <c r="AB82" i="7"/>
  <c r="AZ130" i="7"/>
  <c r="AX130" i="7"/>
  <c r="BB130" i="7"/>
  <c r="BF130" i="7"/>
  <c r="X130" i="7"/>
  <c r="AW130" i="7"/>
  <c r="AY130" i="7"/>
  <c r="X164" i="7"/>
  <c r="X154" i="7"/>
  <c r="BF26" i="7"/>
  <c r="BD26" i="7"/>
  <c r="BC26" i="7"/>
  <c r="BB26" i="7"/>
  <c r="AY26" i="7"/>
  <c r="BH26" i="7"/>
  <c r="BG26" i="7"/>
  <c r="AX26" i="7"/>
  <c r="BE26" i="7"/>
  <c r="BA26" i="7"/>
  <c r="AZ26" i="7"/>
  <c r="AW26" i="7"/>
  <c r="X26" i="7"/>
  <c r="BG177" i="7"/>
  <c r="BC177" i="7"/>
  <c r="AZ177" i="7"/>
  <c r="AY177" i="7"/>
  <c r="BB177" i="7"/>
  <c r="AX177" i="7"/>
  <c r="AW177" i="7"/>
  <c r="BF177" i="7"/>
  <c r="BA177" i="7"/>
  <c r="AH130" i="7"/>
  <c r="AI130" i="7" s="1"/>
  <c r="AJ130" i="7" s="1"/>
  <c r="AF174" i="7"/>
  <c r="AH174" i="7" s="1"/>
  <c r="AC165" i="7"/>
  <c r="AD165" i="7" s="1"/>
  <c r="AE165" i="7" s="1"/>
  <c r="X159" i="7"/>
  <c r="AV159" i="7"/>
  <c r="BH52" i="7"/>
  <c r="BE52" i="7"/>
  <c r="BA52" i="7"/>
  <c r="AZ52" i="7"/>
  <c r="AW52" i="7"/>
  <c r="BF52" i="7"/>
  <c r="BD52" i="7"/>
  <c r="BC52" i="7"/>
  <c r="BB52" i="7"/>
  <c r="AY52" i="7"/>
  <c r="BG52" i="7"/>
  <c r="X52" i="7"/>
  <c r="AX52" i="7"/>
  <c r="X137" i="7"/>
  <c r="BH114" i="7"/>
  <c r="BF114" i="7"/>
  <c r="BB114" i="7"/>
  <c r="AZ114" i="7"/>
  <c r="BC114" i="7"/>
  <c r="BE114" i="7"/>
  <c r="AY114" i="7"/>
  <c r="AW114" i="7"/>
  <c r="X114" i="7"/>
  <c r="BD114" i="7"/>
  <c r="BA114" i="7"/>
  <c r="AX114" i="7"/>
  <c r="BG114" i="7"/>
  <c r="AE159" i="7"/>
  <c r="X146" i="7"/>
  <c r="AF48" i="7"/>
  <c r="AH48" i="7" s="1"/>
  <c r="AI48" i="7" s="1"/>
  <c r="AJ48" i="7" s="1"/>
  <c r="X139" i="7"/>
  <c r="AB146" i="7"/>
  <c r="AC146" i="7"/>
  <c r="AD146" i="7" s="1"/>
  <c r="BD18" i="7"/>
  <c r="BH18" i="7"/>
  <c r="BE18" i="7"/>
  <c r="BC18" i="7"/>
  <c r="BB18" i="7"/>
  <c r="AZ18" i="7"/>
  <c r="AY18" i="7"/>
  <c r="AW18" i="7"/>
  <c r="BA18" i="7"/>
  <c r="BG18" i="7"/>
  <c r="BF18" i="7"/>
  <c r="AX18" i="7"/>
  <c r="X18" i="7"/>
  <c r="AF44" i="7"/>
  <c r="AH44" i="7" s="1"/>
  <c r="BF131" i="7"/>
  <c r="BB131" i="7"/>
  <c r="AZ131" i="7"/>
  <c r="BE131" i="7"/>
  <c r="BC131" i="7"/>
  <c r="AY131" i="7"/>
  <c r="AW131" i="7"/>
  <c r="X131" i="7"/>
  <c r="BD131" i="7"/>
  <c r="BG131" i="7"/>
  <c r="BA131" i="7"/>
  <c r="AX131" i="7"/>
  <c r="BH131" i="7"/>
  <c r="AH49" i="7"/>
  <c r="AI49" i="7" s="1"/>
  <c r="AJ49" i="7" s="1"/>
  <c r="AI119" i="7"/>
  <c r="AJ119" i="7" s="1"/>
  <c r="BH42" i="7"/>
  <c r="BG42" i="7"/>
  <c r="BF42" i="7"/>
  <c r="BA42" i="7"/>
  <c r="BD42" i="7"/>
  <c r="AX42" i="7"/>
  <c r="BE42" i="7"/>
  <c r="BC42" i="7"/>
  <c r="X42" i="7"/>
  <c r="AY42" i="7"/>
  <c r="BB42" i="7"/>
  <c r="AW42" i="7"/>
  <c r="AZ42" i="7"/>
  <c r="BF132" i="7"/>
  <c r="BB132" i="7"/>
  <c r="AZ132" i="7"/>
  <c r="BH132" i="7"/>
  <c r="BA132" i="7"/>
  <c r="BG132" i="7"/>
  <c r="BE132" i="7"/>
  <c r="AY132" i="7"/>
  <c r="AW132" i="7"/>
  <c r="X132" i="7"/>
  <c r="BD132" i="7"/>
  <c r="BC132" i="7"/>
  <c r="AX132" i="7"/>
  <c r="BD34" i="7"/>
  <c r="BE34" i="7"/>
  <c r="BC34" i="7"/>
  <c r="BB34" i="7"/>
  <c r="AZ34" i="7"/>
  <c r="BA34" i="7"/>
  <c r="AY34" i="7"/>
  <c r="AW34" i="7"/>
  <c r="BG34" i="7"/>
  <c r="BF34" i="7"/>
  <c r="BH34" i="7"/>
  <c r="AX34" i="7"/>
  <c r="X34" i="7"/>
  <c r="AB131" i="7"/>
  <c r="BE122" i="7"/>
  <c r="BC122" i="7"/>
  <c r="BG122" i="7"/>
  <c r="BD122" i="7"/>
  <c r="BA122" i="7"/>
  <c r="BH122" i="7"/>
  <c r="BF122" i="7"/>
  <c r="BB122" i="7"/>
  <c r="AZ122" i="7"/>
  <c r="AX122" i="7"/>
  <c r="AW122" i="7"/>
  <c r="X122" i="7"/>
  <c r="AY122" i="7"/>
  <c r="AE160" i="7"/>
  <c r="X145" i="7"/>
  <c r="BF117" i="7"/>
  <c r="BB117" i="7"/>
  <c r="AZ117" i="7"/>
  <c r="BG117" i="7"/>
  <c r="BC117" i="7"/>
  <c r="AY117" i="7"/>
  <c r="AW117" i="7"/>
  <c r="X117" i="7"/>
  <c r="BA117" i="7"/>
  <c r="AX117" i="7"/>
  <c r="AB14" i="7"/>
  <c r="AC30" i="7"/>
  <c r="AD30" i="7" s="1"/>
  <c r="AC18" i="7"/>
  <c r="AD18" i="7" s="1"/>
  <c r="AC34" i="7"/>
  <c r="AD34" i="7" s="1"/>
  <c r="AC42" i="7"/>
  <c r="AD42" i="7" s="1"/>
  <c r="AH39" i="7"/>
  <c r="AI39" i="7" s="1"/>
  <c r="AJ39" i="7" s="1"/>
  <c r="AH45" i="7"/>
  <c r="AI45" i="7" s="1"/>
  <c r="AJ45" i="7" s="1"/>
  <c r="AB106" i="7"/>
  <c r="AF106" i="7" s="1"/>
  <c r="AH106" i="7" s="1"/>
  <c r="AC78" i="7"/>
  <c r="AD78" i="7" s="1"/>
  <c r="BH117" i="7"/>
  <c r="AB169" i="7"/>
  <c r="AF169" i="7" s="1"/>
  <c r="AH169" i="7" s="1"/>
  <c r="AE109" i="7"/>
  <c r="BH44" i="7"/>
  <c r="BE44" i="7"/>
  <c r="BC44" i="7"/>
  <c r="BB44" i="7"/>
  <c r="AZ44" i="7"/>
  <c r="BG44" i="7"/>
  <c r="BF44" i="7"/>
  <c r="BA44" i="7"/>
  <c r="BD44" i="7"/>
  <c r="AX44" i="7"/>
  <c r="X44" i="7"/>
  <c r="AY44" i="7"/>
  <c r="AW44" i="7"/>
  <c r="X149" i="7"/>
  <c r="AF164" i="7"/>
  <c r="AH164" i="7" s="1"/>
  <c r="AI164" i="7" s="1"/>
  <c r="AJ164" i="7" s="1"/>
  <c r="BH38" i="7"/>
  <c r="BD38" i="7"/>
  <c r="X38" i="7"/>
  <c r="BB38" i="7"/>
  <c r="BE38" i="7"/>
  <c r="BC38" i="7"/>
  <c r="BA38" i="7"/>
  <c r="AY38" i="7"/>
  <c r="AW38" i="7"/>
  <c r="BG38" i="7"/>
  <c r="AZ38" i="7"/>
  <c r="AX38" i="7"/>
  <c r="BF38" i="7"/>
  <c r="BH82" i="7"/>
  <c r="BE82" i="7"/>
  <c r="BC82" i="7"/>
  <c r="BB82" i="7"/>
  <c r="AZ82" i="7"/>
  <c r="AW82" i="7"/>
  <c r="BD82" i="7"/>
  <c r="BA82" i="7"/>
  <c r="BF82" i="7"/>
  <c r="AY82" i="7"/>
  <c r="AX82" i="7"/>
  <c r="BG82" i="7"/>
  <c r="X82" i="7"/>
  <c r="BD106" i="7"/>
  <c r="BH106" i="7"/>
  <c r="BF106" i="7"/>
  <c r="BB106" i="7"/>
  <c r="AZ106" i="7"/>
  <c r="BC106" i="7"/>
  <c r="BA106" i="7"/>
  <c r="BG106" i="7"/>
  <c r="AY106" i="7"/>
  <c r="AW106" i="7"/>
  <c r="X106" i="7"/>
  <c r="AX106" i="7"/>
  <c r="BE106" i="7"/>
  <c r="AF139" i="7"/>
  <c r="AH139" i="7" s="1"/>
  <c r="AI139" i="7" s="1"/>
  <c r="AJ139" i="7" s="1"/>
  <c r="AC44" i="7"/>
  <c r="AD44" i="7" s="1"/>
  <c r="BH102" i="7"/>
  <c r="BB102" i="7"/>
  <c r="AZ102" i="7"/>
  <c r="BC102" i="7"/>
  <c r="AY102" i="7"/>
  <c r="AW102" i="7"/>
  <c r="X102" i="7"/>
  <c r="BG102" i="7"/>
  <c r="BD102" i="7"/>
  <c r="BA102" i="7"/>
  <c r="AX102" i="7"/>
  <c r="X147" i="7"/>
  <c r="BH22" i="7"/>
  <c r="BD22" i="7"/>
  <c r="BG22" i="7"/>
  <c r="BF22" i="7"/>
  <c r="BB22" i="7"/>
  <c r="AZ22" i="7"/>
  <c r="X22" i="7"/>
  <c r="AY22" i="7"/>
  <c r="AW22" i="7"/>
  <c r="BE22" i="7"/>
  <c r="AX22" i="7"/>
  <c r="BC22" i="7"/>
  <c r="BA22" i="7"/>
  <c r="AF160" i="7"/>
  <c r="AH160" i="7" s="1"/>
  <c r="AI160" i="7" s="1"/>
  <c r="AJ160" i="7" s="1"/>
  <c r="X150" i="7"/>
  <c r="BC167" i="7"/>
  <c r="BB167" i="7"/>
  <c r="BA167" i="7"/>
  <c r="AW167" i="7"/>
  <c r="X167" i="7"/>
  <c r="AY167" i="7"/>
  <c r="AZ167" i="7"/>
  <c r="AX167" i="7"/>
  <c r="AC150" i="7"/>
  <c r="AD150" i="7" s="1"/>
  <c r="BH173" i="7"/>
  <c r="BF173" i="7"/>
  <c r="BE173" i="7"/>
  <c r="AZ173" i="7"/>
  <c r="BB173" i="7"/>
  <c r="BG173" i="7"/>
  <c r="AX173" i="7"/>
  <c r="BA173" i="7"/>
  <c r="AW173" i="7"/>
  <c r="AY173" i="7"/>
  <c r="BC173" i="7"/>
  <c r="BD169" i="7"/>
  <c r="AZ169" i="7"/>
  <c r="AX169" i="7"/>
  <c r="BE169" i="7"/>
  <c r="BC169" i="7"/>
  <c r="AW169" i="7"/>
  <c r="X169" i="7"/>
  <c r="BB169" i="7"/>
  <c r="AY169" i="7"/>
  <c r="BA169" i="7"/>
  <c r="AH117" i="7"/>
  <c r="BE117" i="7"/>
  <c r="BF169" i="7"/>
  <c r="AV178" i="7"/>
  <c r="AV73" i="7"/>
  <c r="BC110" i="7"/>
  <c r="BG110" i="7"/>
  <c r="BE110" i="7"/>
  <c r="BA110" i="7"/>
  <c r="BD110" i="7"/>
  <c r="BH110" i="7"/>
  <c r="BF110" i="7"/>
  <c r="AX110" i="7"/>
  <c r="AZ110" i="7"/>
  <c r="BB110" i="7"/>
  <c r="X110" i="7"/>
  <c r="AY110" i="7"/>
  <c r="AW110" i="7"/>
  <c r="BG65" i="7"/>
  <c r="BF65" i="7"/>
  <c r="BA65" i="7"/>
  <c r="BD65" i="7"/>
  <c r="AX65" i="7"/>
  <c r="BB65" i="7"/>
  <c r="BE65" i="7"/>
  <c r="BC65" i="7"/>
  <c r="X65" i="7"/>
  <c r="AY65" i="7"/>
  <c r="BH65" i="7"/>
  <c r="AZ65" i="7"/>
  <c r="AW65" i="7"/>
  <c r="BH98" i="7"/>
  <c r="BF98" i="7"/>
  <c r="BC98" i="7"/>
  <c r="BG98" i="7"/>
  <c r="BA98" i="7"/>
  <c r="BB98" i="7"/>
  <c r="AZ98" i="7"/>
  <c r="BE98" i="7"/>
  <c r="BD98" i="7"/>
  <c r="AX98" i="7"/>
  <c r="AY98" i="7"/>
  <c r="AW98" i="7"/>
  <c r="X98" i="7"/>
  <c r="Z44" i="7"/>
  <c r="AE44" i="7"/>
  <c r="AE130" i="7"/>
  <c r="AC132" i="7"/>
  <c r="AD132" i="7" s="1"/>
  <c r="AB132" i="7"/>
  <c r="AC167" i="7"/>
  <c r="AD167" i="7" s="1"/>
  <c r="AB167" i="7"/>
  <c r="AI174" i="7"/>
  <c r="AJ174" i="7" s="1"/>
  <c r="AE174" i="7"/>
  <c r="BH30" i="7"/>
  <c r="BE30" i="7"/>
  <c r="BC30" i="7"/>
  <c r="BB30" i="7"/>
  <c r="AZ30" i="7"/>
  <c r="BG30" i="7"/>
  <c r="BF30" i="7"/>
  <c r="BA30" i="7"/>
  <c r="AX30" i="7"/>
  <c r="BD30" i="7"/>
  <c r="AW30" i="7"/>
  <c r="X30" i="7"/>
  <c r="AY30" i="7"/>
  <c r="BH94" i="7"/>
  <c r="BG94" i="7"/>
  <c r="BA94" i="7"/>
  <c r="BD94" i="7"/>
  <c r="AX94" i="7"/>
  <c r="AW94" i="7"/>
  <c r="X94" i="7"/>
  <c r="AY94" i="7"/>
  <c r="AZ94" i="7"/>
  <c r="BC94" i="7"/>
  <c r="BB94" i="7"/>
  <c r="AF159" i="7"/>
  <c r="AH159" i="7" s="1"/>
  <c r="BH128" i="7"/>
  <c r="BF128" i="7"/>
  <c r="BB128" i="7"/>
  <c r="AZ128" i="7"/>
  <c r="BD128" i="7"/>
  <c r="BC128" i="7"/>
  <c r="BA128" i="7"/>
  <c r="AY128" i="7"/>
  <c r="AW128" i="7"/>
  <c r="X128" i="7"/>
  <c r="BG128" i="7"/>
  <c r="BE128" i="7"/>
  <c r="AX128" i="7"/>
  <c r="AX165" i="7"/>
  <c r="AW165" i="7"/>
  <c r="X165" i="7"/>
  <c r="BG14" i="7"/>
  <c r="BF14" i="7"/>
  <c r="BA14" i="7"/>
  <c r="AY14" i="7"/>
  <c r="BD14" i="7"/>
  <c r="AX14" i="7"/>
  <c r="BH14" i="7"/>
  <c r="BB14" i="7"/>
  <c r="BE14" i="7"/>
  <c r="BC14" i="7"/>
  <c r="X14" i="7"/>
  <c r="AZ14" i="7"/>
  <c r="AW14" i="7"/>
  <c r="AF147" i="7"/>
  <c r="AH147" i="7" s="1"/>
  <c r="AN15" i="4"/>
  <c r="AD15" i="4"/>
  <c r="AI15" i="4"/>
  <c r="O35" i="4"/>
  <c r="AG20" i="4"/>
  <c r="AB20" i="4"/>
  <c r="AI26" i="4"/>
  <c r="AM26" i="4"/>
  <c r="AM27" i="4"/>
  <c r="AI27" i="4"/>
  <c r="AL23" i="4"/>
  <c r="AB23" i="4"/>
  <c r="AG23" i="4"/>
  <c r="AH23" i="4" s="1"/>
  <c r="AM24" i="4"/>
  <c r="AI24" i="4"/>
  <c r="AI21" i="4"/>
  <c r="AZ27" i="4"/>
  <c r="AG22" i="4"/>
  <c r="AH22" i="4" s="1"/>
  <c r="AL22" i="4"/>
  <c r="AB22" i="4"/>
  <c r="AZ37" i="4"/>
  <c r="AZ42" i="4" s="1"/>
  <c r="AN37" i="4"/>
  <c r="AN42" i="4" s="1"/>
  <c r="AV190" i="7"/>
  <c r="AE54" i="7"/>
  <c r="AE88" i="7"/>
  <c r="AE120" i="7"/>
  <c r="AE61" i="7"/>
  <c r="AF42" i="7"/>
  <c r="AH42" i="7" s="1"/>
  <c r="AI42" i="7" s="1"/>
  <c r="AJ42" i="7" s="1"/>
  <c r="BG35" i="7"/>
  <c r="BC35" i="7"/>
  <c r="BF35" i="7"/>
  <c r="BB35" i="7"/>
  <c r="AX35" i="7"/>
  <c r="X35" i="7"/>
  <c r="BA35" i="7"/>
  <c r="AW35" i="7"/>
  <c r="BE35" i="7"/>
  <c r="AY35" i="7"/>
  <c r="BH35" i="7"/>
  <c r="AZ35" i="7"/>
  <c r="BD35" i="7"/>
  <c r="BH20" i="7"/>
  <c r="BD20" i="7"/>
  <c r="BG20" i="7"/>
  <c r="BC20" i="7"/>
  <c r="BB20" i="7"/>
  <c r="AY20" i="7"/>
  <c r="BF20" i="7"/>
  <c r="AX20" i="7"/>
  <c r="BE20" i="7"/>
  <c r="X20" i="7"/>
  <c r="AW20" i="7"/>
  <c r="AZ20" i="7"/>
  <c r="BA20" i="7"/>
  <c r="BG71" i="7"/>
  <c r="BF71" i="7"/>
  <c r="BB71" i="7"/>
  <c r="BH71" i="7"/>
  <c r="AX71" i="7"/>
  <c r="X71" i="7"/>
  <c r="BD71" i="7"/>
  <c r="BA71" i="7"/>
  <c r="AW71" i="7"/>
  <c r="BC71" i="7"/>
  <c r="AZ71" i="7"/>
  <c r="AY71" i="7"/>
  <c r="BE71" i="7"/>
  <c r="AF58" i="7"/>
  <c r="AH58" i="7" s="1"/>
  <c r="AI58" i="7" s="1"/>
  <c r="AJ58" i="7" s="1"/>
  <c r="Z78" i="7"/>
  <c r="AE78" i="7"/>
  <c r="AB60" i="7"/>
  <c r="AC60" i="7"/>
  <c r="AD60" i="7" s="1"/>
  <c r="AI98" i="7"/>
  <c r="AJ98" i="7" s="1"/>
  <c r="AE98" i="7"/>
  <c r="AE59" i="7"/>
  <c r="BH96" i="7"/>
  <c r="BD96" i="7"/>
  <c r="BG96" i="7"/>
  <c r="BC96" i="7"/>
  <c r="AY96" i="7"/>
  <c r="BB96" i="7"/>
  <c r="AX96" i="7"/>
  <c r="BF96" i="7"/>
  <c r="BE96" i="7"/>
  <c r="BA96" i="7"/>
  <c r="AW96" i="7"/>
  <c r="X96" i="7"/>
  <c r="AZ96" i="7"/>
  <c r="AE112" i="7"/>
  <c r="AE93" i="7"/>
  <c r="AF165" i="7"/>
  <c r="AH165" i="7" s="1"/>
  <c r="BG111" i="7"/>
  <c r="BF111" i="7"/>
  <c r="BB111" i="7"/>
  <c r="AX111" i="7"/>
  <c r="X111" i="7"/>
  <c r="BE111" i="7"/>
  <c r="BC111" i="7"/>
  <c r="BA111" i="7"/>
  <c r="BD111" i="7"/>
  <c r="AY111" i="7"/>
  <c r="BH111" i="7"/>
  <c r="AW111" i="7"/>
  <c r="AZ111" i="7"/>
  <c r="AF103" i="7"/>
  <c r="AH103" i="7" s="1"/>
  <c r="AI103" i="7" s="1"/>
  <c r="AJ103" i="7" s="1"/>
  <c r="X156" i="7"/>
  <c r="BH24" i="7"/>
  <c r="BD24" i="7"/>
  <c r="BG24" i="7"/>
  <c r="BC24" i="7"/>
  <c r="BF24" i="7"/>
  <c r="AY24" i="7"/>
  <c r="AX24" i="7"/>
  <c r="BB24" i="7"/>
  <c r="X24" i="7"/>
  <c r="AZ24" i="7"/>
  <c r="BA24" i="7"/>
  <c r="AW24" i="7"/>
  <c r="BE24" i="7"/>
  <c r="BE13" i="7"/>
  <c r="BH13" i="7"/>
  <c r="BD13" i="7"/>
  <c r="BG13" i="7"/>
  <c r="BF13" i="7"/>
  <c r="BC13" i="7"/>
  <c r="AZ13" i="7"/>
  <c r="AY13" i="7"/>
  <c r="AX13" i="7"/>
  <c r="X13" i="7"/>
  <c r="AW13" i="7"/>
  <c r="U142" i="7"/>
  <c r="BB13" i="7"/>
  <c r="BA13" i="7"/>
  <c r="AF24" i="7"/>
  <c r="AH24" i="7" s="1"/>
  <c r="BH28" i="7"/>
  <c r="BD28" i="7"/>
  <c r="BG28" i="7"/>
  <c r="BC28" i="7"/>
  <c r="AY28" i="7"/>
  <c r="BE28" i="7"/>
  <c r="AX28" i="7"/>
  <c r="BF28" i="7"/>
  <c r="BA28" i="7"/>
  <c r="AZ28" i="7"/>
  <c r="AW28" i="7"/>
  <c r="X28" i="7"/>
  <c r="BB28" i="7"/>
  <c r="AC20" i="7"/>
  <c r="AD20" i="7" s="1"/>
  <c r="AB20" i="7"/>
  <c r="AE58" i="7"/>
  <c r="AI90" i="7"/>
  <c r="AJ90" i="7" s="1"/>
  <c r="AE90" i="7"/>
  <c r="AC69" i="7"/>
  <c r="AD69" i="7" s="1"/>
  <c r="AB69" i="7"/>
  <c r="AF27" i="7"/>
  <c r="AH27" i="7" s="1"/>
  <c r="AI27" i="7" s="1"/>
  <c r="AJ27" i="7" s="1"/>
  <c r="AB89" i="7"/>
  <c r="AC89" i="7"/>
  <c r="AD89" i="7" s="1"/>
  <c r="AF112" i="7"/>
  <c r="AH112" i="7" s="1"/>
  <c r="AI112" i="7" s="1"/>
  <c r="AJ112" i="7" s="1"/>
  <c r="AF120" i="7"/>
  <c r="AH120" i="7" s="1"/>
  <c r="AI120" i="7" s="1"/>
  <c r="AJ120" i="7" s="1"/>
  <c r="AI78" i="7"/>
  <c r="AJ78" i="7" s="1"/>
  <c r="BE121" i="7"/>
  <c r="BH121" i="7"/>
  <c r="BD121" i="7"/>
  <c r="BF121" i="7"/>
  <c r="BC121" i="7"/>
  <c r="AZ121" i="7"/>
  <c r="AY121" i="7"/>
  <c r="BG121" i="7"/>
  <c r="BA121" i="7"/>
  <c r="AW121" i="7"/>
  <c r="BB121" i="7"/>
  <c r="AX121" i="7"/>
  <c r="X121" i="7"/>
  <c r="AH111" i="7"/>
  <c r="AC148" i="7"/>
  <c r="AD148" i="7" s="1"/>
  <c r="AB148" i="7"/>
  <c r="AE82" i="7"/>
  <c r="AE138" i="7"/>
  <c r="BF168" i="7"/>
  <c r="BE168" i="7"/>
  <c r="BA168" i="7"/>
  <c r="AW168" i="7"/>
  <c r="BD168" i="7"/>
  <c r="AZ168" i="7"/>
  <c r="BG168" i="7"/>
  <c r="U171" i="7"/>
  <c r="BC168" i="7"/>
  <c r="BB168" i="7"/>
  <c r="AY168" i="7"/>
  <c r="AY171" i="7" s="1"/>
  <c r="AX168" i="7"/>
  <c r="X168" i="7"/>
  <c r="X171" i="7" s="1"/>
  <c r="AE79" i="7"/>
  <c r="AF91" i="7"/>
  <c r="AH91" i="7" s="1"/>
  <c r="AI91" i="7" s="1"/>
  <c r="AJ91" i="7" s="1"/>
  <c r="AF150" i="7"/>
  <c r="AH150" i="7" s="1"/>
  <c r="AI150" i="7" s="1"/>
  <c r="AJ150" i="7" s="1"/>
  <c r="AE153" i="7"/>
  <c r="AV138" i="7"/>
  <c r="AE149" i="7"/>
  <c r="AC185" i="7"/>
  <c r="AB104" i="7"/>
  <c r="AC104" i="7"/>
  <c r="AD104" i="7" s="1"/>
  <c r="AE122" i="7"/>
  <c r="AH186" i="7"/>
  <c r="AI186" i="7" s="1"/>
  <c r="AJ186" i="7" s="1"/>
  <c r="AG186" i="7"/>
  <c r="AK186" i="7" s="1"/>
  <c r="AF87" i="7"/>
  <c r="AH87" i="7" s="1"/>
  <c r="BG99" i="7"/>
  <c r="BF99" i="7"/>
  <c r="BB99" i="7"/>
  <c r="BE99" i="7"/>
  <c r="BD99" i="7"/>
  <c r="BC99" i="7"/>
  <c r="AX99" i="7"/>
  <c r="X99" i="7"/>
  <c r="BA99" i="7"/>
  <c r="BH99" i="7"/>
  <c r="AZ99" i="7"/>
  <c r="AY99" i="7"/>
  <c r="AW99" i="7"/>
  <c r="AF63" i="7"/>
  <c r="AH63" i="7" s="1"/>
  <c r="AF22" i="7"/>
  <c r="AH22" i="7" s="1"/>
  <c r="AI22" i="7" s="1"/>
  <c r="AJ22" i="7" s="1"/>
  <c r="BE33" i="7"/>
  <c r="BH33" i="7"/>
  <c r="BD33" i="7"/>
  <c r="AZ33" i="7"/>
  <c r="AY33" i="7"/>
  <c r="BF33" i="7"/>
  <c r="BC33" i="7"/>
  <c r="BB33" i="7"/>
  <c r="BA33" i="7"/>
  <c r="AW33" i="7"/>
  <c r="BG33" i="7"/>
  <c r="AX33" i="7"/>
  <c r="X33" i="7"/>
  <c r="AE18" i="7"/>
  <c r="AC37" i="7"/>
  <c r="AD37" i="7" s="1"/>
  <c r="AE37" i="7" s="1"/>
  <c r="BE37" i="7"/>
  <c r="BH37" i="7"/>
  <c r="BD37" i="7"/>
  <c r="AZ37" i="7"/>
  <c r="BG37" i="7"/>
  <c r="BC37" i="7"/>
  <c r="BB37" i="7"/>
  <c r="AY37" i="7"/>
  <c r="BA37" i="7"/>
  <c r="AW37" i="7"/>
  <c r="AX37" i="7"/>
  <c r="X37" i="7"/>
  <c r="BF37" i="7"/>
  <c r="AE40" i="7"/>
  <c r="AC33" i="7"/>
  <c r="AD33" i="7" s="1"/>
  <c r="AE33" i="7" s="1"/>
  <c r="BG51" i="7"/>
  <c r="BF51" i="7"/>
  <c r="BB51" i="7"/>
  <c r="BH51" i="7"/>
  <c r="BE51" i="7"/>
  <c r="AX51" i="7"/>
  <c r="X51" i="7"/>
  <c r="BD51" i="7"/>
  <c r="BA51" i="7"/>
  <c r="AW51" i="7"/>
  <c r="AZ51" i="7"/>
  <c r="AY51" i="7"/>
  <c r="BC51" i="7"/>
  <c r="AE43" i="7"/>
  <c r="AF29" i="7"/>
  <c r="AH29" i="7" s="1"/>
  <c r="BH88" i="7"/>
  <c r="BD88" i="7"/>
  <c r="BG88" i="7"/>
  <c r="BC88" i="7"/>
  <c r="AY88" i="7"/>
  <c r="AX88" i="7"/>
  <c r="BA88" i="7"/>
  <c r="AW88" i="7"/>
  <c r="X88" i="7"/>
  <c r="BF88" i="7"/>
  <c r="BB88" i="7"/>
  <c r="BE88" i="7"/>
  <c r="AZ88" i="7"/>
  <c r="BF74" i="7"/>
  <c r="BE74" i="7"/>
  <c r="BA74" i="7"/>
  <c r="AW74" i="7"/>
  <c r="BH74" i="7"/>
  <c r="BC74" i="7"/>
  <c r="BB74" i="7"/>
  <c r="AZ74" i="7"/>
  <c r="BD74" i="7"/>
  <c r="AX74" i="7"/>
  <c r="X74" i="7"/>
  <c r="BG74" i="7"/>
  <c r="AY74" i="7"/>
  <c r="AE49" i="7"/>
  <c r="Z49" i="7"/>
  <c r="AE73" i="7"/>
  <c r="Z91" i="7"/>
  <c r="AE91" i="7"/>
  <c r="Z31" i="7"/>
  <c r="AE31" i="7"/>
  <c r="AF74" i="7"/>
  <c r="AH74" i="7" s="1"/>
  <c r="BE105" i="7"/>
  <c r="BH105" i="7"/>
  <c r="BD105" i="7"/>
  <c r="BF105" i="7"/>
  <c r="BC105" i="7"/>
  <c r="BB105" i="7"/>
  <c r="AZ105" i="7"/>
  <c r="AY105" i="7"/>
  <c r="BG105" i="7"/>
  <c r="BA105" i="7"/>
  <c r="AW105" i="7"/>
  <c r="X105" i="7"/>
  <c r="AX105" i="7"/>
  <c r="Z103" i="7"/>
  <c r="AE103" i="7"/>
  <c r="AE128" i="7"/>
  <c r="BE93" i="7"/>
  <c r="BH93" i="7"/>
  <c r="BD93" i="7"/>
  <c r="BG93" i="7"/>
  <c r="AZ93" i="7"/>
  <c r="BF93" i="7"/>
  <c r="AY93" i="7"/>
  <c r="BB93" i="7"/>
  <c r="AX93" i="7"/>
  <c r="AW93" i="7"/>
  <c r="X93" i="7"/>
  <c r="BC93" i="7"/>
  <c r="BA93" i="7"/>
  <c r="AE137" i="7"/>
  <c r="AE110" i="7"/>
  <c r="AB136" i="7"/>
  <c r="AC136" i="7"/>
  <c r="AD136" i="7" s="1"/>
  <c r="BH176" i="7"/>
  <c r="BD176" i="7"/>
  <c r="BG176" i="7"/>
  <c r="BC176" i="7"/>
  <c r="AY176" i="7"/>
  <c r="BB176" i="7"/>
  <c r="AX176" i="7"/>
  <c r="BE176" i="7"/>
  <c r="AW176" i="7"/>
  <c r="BF176" i="7"/>
  <c r="AZ176" i="7"/>
  <c r="BA176" i="7"/>
  <c r="AF82" i="7"/>
  <c r="AH82" i="7" s="1"/>
  <c r="AI82" i="7" s="1"/>
  <c r="AJ82" i="7" s="1"/>
  <c r="AB92" i="7"/>
  <c r="AC92" i="7"/>
  <c r="AD92" i="7" s="1"/>
  <c r="AB168" i="7"/>
  <c r="AC168" i="7"/>
  <c r="AD168" i="7" s="1"/>
  <c r="AF177" i="7"/>
  <c r="AH177" i="7" s="1"/>
  <c r="AE81" i="7"/>
  <c r="Z81" i="7"/>
  <c r="AF153" i="7"/>
  <c r="AH153" i="7" s="1"/>
  <c r="AI153" i="7" s="1"/>
  <c r="AJ153" i="7" s="1"/>
  <c r="AF149" i="7"/>
  <c r="AH149" i="7" s="1"/>
  <c r="AI149" i="7" s="1"/>
  <c r="AJ149" i="7" s="1"/>
  <c r="BH104" i="7"/>
  <c r="BD104" i="7"/>
  <c r="BG104" i="7"/>
  <c r="BC104" i="7"/>
  <c r="AY104" i="7"/>
  <c r="AX104" i="7"/>
  <c r="BF104" i="7"/>
  <c r="X104" i="7"/>
  <c r="BB104" i="7"/>
  <c r="AZ104" i="7"/>
  <c r="AW104" i="7"/>
  <c r="BE104" i="7"/>
  <c r="BA104" i="7"/>
  <c r="AF154" i="7"/>
  <c r="AH154" i="7" s="1"/>
  <c r="AI63" i="7"/>
  <c r="AJ63" i="7" s="1"/>
  <c r="AE63" i="7"/>
  <c r="Z17" i="7"/>
  <c r="Z33" i="7"/>
  <c r="AH43" i="7"/>
  <c r="AI43" i="7" s="1"/>
  <c r="AJ43" i="7" s="1"/>
  <c r="BG43" i="7"/>
  <c r="BC43" i="7"/>
  <c r="BF43" i="7"/>
  <c r="BB43" i="7"/>
  <c r="BE43" i="7"/>
  <c r="AX43" i="7"/>
  <c r="X43" i="7"/>
  <c r="BA43" i="7"/>
  <c r="AW43" i="7"/>
  <c r="BH43" i="7"/>
  <c r="AZ43" i="7"/>
  <c r="AY43" i="7"/>
  <c r="BD43" i="7"/>
  <c r="AF18" i="7"/>
  <c r="AH18" i="7" s="1"/>
  <c r="AI18" i="7" s="1"/>
  <c r="AJ18" i="7" s="1"/>
  <c r="Z37" i="7"/>
  <c r="AE16" i="7"/>
  <c r="Z35" i="7"/>
  <c r="AF19" i="7"/>
  <c r="AH19" i="7" s="1"/>
  <c r="AC46" i="7"/>
  <c r="AD46" i="7" s="1"/>
  <c r="AB46" i="7"/>
  <c r="AE52" i="7"/>
  <c r="BG75" i="7"/>
  <c r="BF75" i="7"/>
  <c r="BB75" i="7"/>
  <c r="AX75" i="7"/>
  <c r="X75" i="7"/>
  <c r="BE75" i="7"/>
  <c r="BA75" i="7"/>
  <c r="AW75" i="7"/>
  <c r="BH75" i="7"/>
  <c r="AY75" i="7"/>
  <c r="BC75" i="7"/>
  <c r="AZ75" i="7"/>
  <c r="BD75" i="7"/>
  <c r="AC68" i="7"/>
  <c r="AD68" i="7" s="1"/>
  <c r="BH68" i="7"/>
  <c r="BD68" i="7"/>
  <c r="BG68" i="7"/>
  <c r="BC68" i="7"/>
  <c r="BB68" i="7"/>
  <c r="AY68" i="7"/>
  <c r="AX68" i="7"/>
  <c r="BF68" i="7"/>
  <c r="BA68" i="7"/>
  <c r="AW68" i="7"/>
  <c r="X68" i="7"/>
  <c r="BE68" i="7"/>
  <c r="AZ68" i="7"/>
  <c r="BH108" i="7"/>
  <c r="BD108" i="7"/>
  <c r="AC108" i="7"/>
  <c r="AD108" i="7" s="1"/>
  <c r="BG108" i="7"/>
  <c r="BC108" i="7"/>
  <c r="AY108" i="7"/>
  <c r="AX108" i="7"/>
  <c r="AZ108" i="7"/>
  <c r="BE108" i="7"/>
  <c r="BF108" i="7"/>
  <c r="BA108" i="7"/>
  <c r="X108" i="7"/>
  <c r="BB108" i="7"/>
  <c r="AW108" i="7"/>
  <c r="BH64" i="7"/>
  <c r="BD64" i="7"/>
  <c r="BG64" i="7"/>
  <c r="BC64" i="7"/>
  <c r="AY64" i="7"/>
  <c r="BF64" i="7"/>
  <c r="BB64" i="7"/>
  <c r="AX64" i="7"/>
  <c r="BE64" i="7"/>
  <c r="AW64" i="7"/>
  <c r="AZ64" i="7"/>
  <c r="BA64" i="7"/>
  <c r="X64" i="7"/>
  <c r="BE77" i="7"/>
  <c r="BH77" i="7"/>
  <c r="BD77" i="7"/>
  <c r="BG77" i="7"/>
  <c r="BF77" i="7"/>
  <c r="AZ77" i="7"/>
  <c r="AY77" i="7"/>
  <c r="AX77" i="7"/>
  <c r="X77" i="7"/>
  <c r="BB77" i="7"/>
  <c r="BA77" i="7"/>
  <c r="AW77" i="7"/>
  <c r="BC77" i="7"/>
  <c r="BH36" i="7"/>
  <c r="BD36" i="7"/>
  <c r="BG36" i="7"/>
  <c r="BC36" i="7"/>
  <c r="BB36" i="7"/>
  <c r="AY36" i="7"/>
  <c r="BF36" i="7"/>
  <c r="AX36" i="7"/>
  <c r="BE36" i="7"/>
  <c r="X36" i="7"/>
  <c r="AW36" i="7"/>
  <c r="AZ36" i="7"/>
  <c r="BA36" i="7"/>
  <c r="AF59" i="7"/>
  <c r="AH59" i="7" s="1"/>
  <c r="AI59" i="7" s="1"/>
  <c r="AJ59" i="7" s="1"/>
  <c r="AB105" i="7"/>
  <c r="AC105" i="7"/>
  <c r="AD105" i="7" s="1"/>
  <c r="AF66" i="7"/>
  <c r="AH66" i="7" s="1"/>
  <c r="AI66" i="7" s="1"/>
  <c r="AJ66" i="7" s="1"/>
  <c r="AF93" i="7"/>
  <c r="AH93" i="7" s="1"/>
  <c r="AI93" i="7" s="1"/>
  <c r="AJ93" i="7" s="1"/>
  <c r="AC129" i="7"/>
  <c r="AD129" i="7" s="1"/>
  <c r="AB129" i="7"/>
  <c r="AF94" i="7"/>
  <c r="AH94" i="7" s="1"/>
  <c r="Z111" i="7"/>
  <c r="X136" i="7"/>
  <c r="AE178" i="7"/>
  <c r="AI177" i="7"/>
  <c r="AE177" i="7"/>
  <c r="BE25" i="7"/>
  <c r="BH25" i="7"/>
  <c r="BD25" i="7"/>
  <c r="BB25" i="7"/>
  <c r="AZ25" i="7"/>
  <c r="BF25" i="7"/>
  <c r="AY25" i="7"/>
  <c r="X25" i="7"/>
  <c r="BG25" i="7"/>
  <c r="BC25" i="7"/>
  <c r="BA25" i="7"/>
  <c r="AX25" i="7"/>
  <c r="AW25" i="7"/>
  <c r="AF30" i="7"/>
  <c r="AH30" i="7" s="1"/>
  <c r="BE41" i="7"/>
  <c r="BH41" i="7"/>
  <c r="BD41" i="7"/>
  <c r="BB41" i="7"/>
  <c r="AZ41" i="7"/>
  <c r="BF41" i="7"/>
  <c r="AY41" i="7"/>
  <c r="BC41" i="7"/>
  <c r="BG41" i="7"/>
  <c r="X41" i="7"/>
  <c r="AX41" i="7"/>
  <c r="BA41" i="7"/>
  <c r="AW41" i="7"/>
  <c r="BG59" i="7"/>
  <c r="BF59" i="7"/>
  <c r="BB59" i="7"/>
  <c r="BE59" i="7"/>
  <c r="AX59" i="7"/>
  <c r="X59" i="7"/>
  <c r="BH59" i="7"/>
  <c r="BA59" i="7"/>
  <c r="AW59" i="7"/>
  <c r="BD59" i="7"/>
  <c r="AZ59" i="7"/>
  <c r="BC59" i="7"/>
  <c r="AY59" i="7"/>
  <c r="N142" i="7"/>
  <c r="Z13" i="7"/>
  <c r="BE21" i="7"/>
  <c r="BH21" i="7"/>
  <c r="BD21" i="7"/>
  <c r="AZ21" i="7"/>
  <c r="BG21" i="7"/>
  <c r="BC21" i="7"/>
  <c r="BB21" i="7"/>
  <c r="AY21" i="7"/>
  <c r="BA21" i="7"/>
  <c r="AW21" i="7"/>
  <c r="AX21" i="7"/>
  <c r="BF21" i="7"/>
  <c r="X21" i="7"/>
  <c r="AF26" i="7"/>
  <c r="AH26" i="7" s="1"/>
  <c r="AE34" i="7"/>
  <c r="BG19" i="7"/>
  <c r="BC19" i="7"/>
  <c r="BF19" i="7"/>
  <c r="BB19" i="7"/>
  <c r="AX19" i="7"/>
  <c r="X19" i="7"/>
  <c r="BA19" i="7"/>
  <c r="AW19" i="7"/>
  <c r="BE19" i="7"/>
  <c r="AY19" i="7"/>
  <c r="BD19" i="7"/>
  <c r="AZ19" i="7"/>
  <c r="BH19" i="7"/>
  <c r="AC24" i="7"/>
  <c r="AD24" i="7" s="1"/>
  <c r="AF32" i="7"/>
  <c r="AH32" i="7" s="1"/>
  <c r="BF58" i="7"/>
  <c r="BE58" i="7"/>
  <c r="BH58" i="7"/>
  <c r="BA58" i="7"/>
  <c r="AW58" i="7"/>
  <c r="BD58" i="7"/>
  <c r="BC58" i="7"/>
  <c r="BB58" i="7"/>
  <c r="AZ58" i="7"/>
  <c r="BG58" i="7"/>
  <c r="X58" i="7"/>
  <c r="AX58" i="7"/>
  <c r="AY58" i="7"/>
  <c r="AC19" i="7"/>
  <c r="AD19" i="7" s="1"/>
  <c r="AE19" i="7" s="1"/>
  <c r="AC28" i="7"/>
  <c r="AD28" i="7" s="1"/>
  <c r="AB28" i="7"/>
  <c r="AB47" i="7"/>
  <c r="AC47" i="7"/>
  <c r="AD47" i="7" s="1"/>
  <c r="AC50" i="7"/>
  <c r="AD50" i="7" s="1"/>
  <c r="AB50" i="7"/>
  <c r="BE53" i="7"/>
  <c r="BH53" i="7"/>
  <c r="BD53" i="7"/>
  <c r="BG53" i="7"/>
  <c r="BF53" i="7"/>
  <c r="AZ53" i="7"/>
  <c r="BC53" i="7"/>
  <c r="BB53" i="7"/>
  <c r="AY53" i="7"/>
  <c r="AX53" i="7"/>
  <c r="BA53" i="7"/>
  <c r="AW53" i="7"/>
  <c r="X53" i="7"/>
  <c r="AC21" i="7"/>
  <c r="AD21" i="7" s="1"/>
  <c r="AI21" i="7" s="1"/>
  <c r="AJ21" i="7" s="1"/>
  <c r="BG39" i="7"/>
  <c r="BC39" i="7"/>
  <c r="BF39" i="7"/>
  <c r="BB39" i="7"/>
  <c r="BH39" i="7"/>
  <c r="AX39" i="7"/>
  <c r="X39" i="7"/>
  <c r="BE39" i="7"/>
  <c r="BD39" i="7"/>
  <c r="BA39" i="7"/>
  <c r="AW39" i="7"/>
  <c r="AZ39" i="7"/>
  <c r="AY39" i="7"/>
  <c r="AF52" i="7"/>
  <c r="AH52" i="7" s="1"/>
  <c r="AI52" i="7" s="1"/>
  <c r="AJ52" i="7" s="1"/>
  <c r="BG63" i="7"/>
  <c r="BF63" i="7"/>
  <c r="BB63" i="7"/>
  <c r="BD63" i="7"/>
  <c r="AX63" i="7"/>
  <c r="X63" i="7"/>
  <c r="BC63" i="7"/>
  <c r="BA63" i="7"/>
  <c r="AW63" i="7"/>
  <c r="BH63" i="7"/>
  <c r="AY63" i="7"/>
  <c r="BE63" i="7"/>
  <c r="AZ63" i="7"/>
  <c r="BG79" i="7"/>
  <c r="BF79" i="7"/>
  <c r="BB79" i="7"/>
  <c r="BH79" i="7"/>
  <c r="AX79" i="7"/>
  <c r="X79" i="7"/>
  <c r="BD79" i="7"/>
  <c r="BC79" i="7"/>
  <c r="BA79" i="7"/>
  <c r="AW79" i="7"/>
  <c r="BE79" i="7"/>
  <c r="AY79" i="7"/>
  <c r="AZ79" i="7"/>
  <c r="AC35" i="7"/>
  <c r="AD35" i="7" s="1"/>
  <c r="AE35" i="7" s="1"/>
  <c r="AB55" i="7"/>
  <c r="AC55" i="7"/>
  <c r="AD55" i="7" s="1"/>
  <c r="Z62" i="7"/>
  <c r="BF70" i="7"/>
  <c r="BE70" i="7"/>
  <c r="BD70" i="7"/>
  <c r="BA70" i="7"/>
  <c r="AW70" i="7"/>
  <c r="BG70" i="7"/>
  <c r="AZ70" i="7"/>
  <c r="AY70" i="7"/>
  <c r="AX70" i="7"/>
  <c r="BC70" i="7"/>
  <c r="BH70" i="7"/>
  <c r="BB70" i="7"/>
  <c r="X70" i="7"/>
  <c r="AC76" i="7"/>
  <c r="AD76" i="7" s="1"/>
  <c r="BH76" i="7"/>
  <c r="BD76" i="7"/>
  <c r="BG76" i="7"/>
  <c r="BC76" i="7"/>
  <c r="AY76" i="7"/>
  <c r="AX76" i="7"/>
  <c r="BE76" i="7"/>
  <c r="BB76" i="7"/>
  <c r="BA76" i="7"/>
  <c r="AW76" i="7"/>
  <c r="BF76" i="7"/>
  <c r="AZ76" i="7"/>
  <c r="X76" i="7"/>
  <c r="BH112" i="7"/>
  <c r="BD112" i="7"/>
  <c r="BG112" i="7"/>
  <c r="BC112" i="7"/>
  <c r="AY112" i="7"/>
  <c r="BF112" i="7"/>
  <c r="BB112" i="7"/>
  <c r="AX112" i="7"/>
  <c r="BE112" i="7"/>
  <c r="AZ112" i="7"/>
  <c r="BA112" i="7"/>
  <c r="X112" i="7"/>
  <c r="AW112" i="7"/>
  <c r="BE45" i="7"/>
  <c r="BH45" i="7"/>
  <c r="BD45" i="7"/>
  <c r="BF45" i="7"/>
  <c r="AZ45" i="7"/>
  <c r="AY45" i="7"/>
  <c r="BG45" i="7"/>
  <c r="X45" i="7"/>
  <c r="BC45" i="7"/>
  <c r="BB45" i="7"/>
  <c r="BA45" i="7"/>
  <c r="AW45" i="7"/>
  <c r="AX45" i="7"/>
  <c r="BE57" i="7"/>
  <c r="BH57" i="7"/>
  <c r="BD57" i="7"/>
  <c r="BC57" i="7"/>
  <c r="BB57" i="7"/>
  <c r="AZ57" i="7"/>
  <c r="AY57" i="7"/>
  <c r="BA57" i="7"/>
  <c r="AW57" i="7"/>
  <c r="BG57" i="7"/>
  <c r="BF57" i="7"/>
  <c r="AX57" i="7"/>
  <c r="X57" i="7"/>
  <c r="AF64" i="7"/>
  <c r="AH64" i="7" s="1"/>
  <c r="AE72" i="7"/>
  <c r="Z83" i="7"/>
  <c r="BG107" i="7"/>
  <c r="BF107" i="7"/>
  <c r="BB107" i="7"/>
  <c r="BD107" i="7"/>
  <c r="AX107" i="7"/>
  <c r="X107" i="7"/>
  <c r="BE107" i="7"/>
  <c r="BA107" i="7"/>
  <c r="BH107" i="7"/>
  <c r="BC107" i="7"/>
  <c r="AY107" i="7"/>
  <c r="AZ107" i="7"/>
  <c r="AW107" i="7"/>
  <c r="BG115" i="7"/>
  <c r="BF115" i="7"/>
  <c r="BH115" i="7"/>
  <c r="BE115" i="7"/>
  <c r="BC115" i="7"/>
  <c r="BB115" i="7"/>
  <c r="AX115" i="7"/>
  <c r="X115" i="7"/>
  <c r="BD115" i="7"/>
  <c r="BA115" i="7"/>
  <c r="AZ115" i="7"/>
  <c r="AW115" i="7"/>
  <c r="AY115" i="7"/>
  <c r="BG123" i="7"/>
  <c r="BF123" i="7"/>
  <c r="BH123" i="7"/>
  <c r="BB123" i="7"/>
  <c r="AX123" i="7"/>
  <c r="BD123" i="7"/>
  <c r="BA123" i="7"/>
  <c r="BE123" i="7"/>
  <c r="BC123" i="7"/>
  <c r="AZ123" i="7"/>
  <c r="AW123" i="7"/>
  <c r="X123" i="7"/>
  <c r="AY123" i="7"/>
  <c r="AC57" i="7"/>
  <c r="AD57" i="7" s="1"/>
  <c r="AF65" i="7"/>
  <c r="AH65" i="7" s="1"/>
  <c r="AI65" i="7" s="1"/>
  <c r="AJ65" i="7" s="1"/>
  <c r="BH72" i="7"/>
  <c r="BD72" i="7"/>
  <c r="BG72" i="7"/>
  <c r="BC72" i="7"/>
  <c r="BE72" i="7"/>
  <c r="AY72" i="7"/>
  <c r="BF72" i="7"/>
  <c r="AX72" i="7"/>
  <c r="AZ72" i="7"/>
  <c r="X72" i="7"/>
  <c r="BB72" i="7"/>
  <c r="BA72" i="7"/>
  <c r="AW72" i="7"/>
  <c r="AC77" i="7"/>
  <c r="AD77" i="7" s="1"/>
  <c r="AB77" i="7"/>
  <c r="BF90" i="7"/>
  <c r="BE90" i="7"/>
  <c r="BA90" i="7"/>
  <c r="AW90" i="7"/>
  <c r="BC90" i="7"/>
  <c r="BB90" i="7"/>
  <c r="AZ90" i="7"/>
  <c r="AY90" i="7"/>
  <c r="BH90" i="7"/>
  <c r="BG90" i="7"/>
  <c r="BD90" i="7"/>
  <c r="AX90" i="7"/>
  <c r="X90" i="7"/>
  <c r="AI102" i="7"/>
  <c r="AJ102" i="7" s="1"/>
  <c r="AE102" i="7"/>
  <c r="AC36" i="7"/>
  <c r="AD36" i="7" s="1"/>
  <c r="AB36" i="7"/>
  <c r="AF95" i="7"/>
  <c r="AH95" i="7" s="1"/>
  <c r="AI95" i="7" s="1"/>
  <c r="AJ95" i="7" s="1"/>
  <c r="AH108" i="7"/>
  <c r="BG87" i="7"/>
  <c r="BF87" i="7"/>
  <c r="BB87" i="7"/>
  <c r="AX87" i="7"/>
  <c r="X87" i="7"/>
  <c r="BH87" i="7"/>
  <c r="BE87" i="7"/>
  <c r="BA87" i="7"/>
  <c r="AW87" i="7"/>
  <c r="AZ87" i="7"/>
  <c r="BD87" i="7"/>
  <c r="AY87" i="7"/>
  <c r="BC87" i="7"/>
  <c r="BG95" i="7"/>
  <c r="BF95" i="7"/>
  <c r="BB95" i="7"/>
  <c r="AX95" i="7"/>
  <c r="X95" i="7"/>
  <c r="BH95" i="7"/>
  <c r="BE95" i="7"/>
  <c r="BC95" i="7"/>
  <c r="BA95" i="7"/>
  <c r="BD95" i="7"/>
  <c r="AW95" i="7"/>
  <c r="AZ95" i="7"/>
  <c r="AY95" i="7"/>
  <c r="AE106" i="7"/>
  <c r="AF137" i="7"/>
  <c r="AH137" i="7" s="1"/>
  <c r="AI137" i="7" s="1"/>
  <c r="AJ137" i="7" s="1"/>
  <c r="AC75" i="7"/>
  <c r="AD75" i="7" s="1"/>
  <c r="AE86" i="7"/>
  <c r="AI94" i="7"/>
  <c r="AJ94" i="7" s="1"/>
  <c r="AE94" i="7"/>
  <c r="AC114" i="7"/>
  <c r="AD114" i="7" s="1"/>
  <c r="AB114" i="7"/>
  <c r="AB121" i="7"/>
  <c r="AC121" i="7"/>
  <c r="AD121" i="7" s="1"/>
  <c r="AF67" i="7"/>
  <c r="AH67" i="7" s="1"/>
  <c r="AI67" i="7" s="1"/>
  <c r="AJ67" i="7" s="1"/>
  <c r="AF88" i="7"/>
  <c r="AH88" i="7" s="1"/>
  <c r="AI88" i="7" s="1"/>
  <c r="AJ88" i="7" s="1"/>
  <c r="AF115" i="7"/>
  <c r="AH115" i="7" s="1"/>
  <c r="X134" i="7"/>
  <c r="X148" i="7"/>
  <c r="AD166" i="7"/>
  <c r="AF83" i="7"/>
  <c r="AH83" i="7" s="1"/>
  <c r="AF145" i="7"/>
  <c r="AH145" i="7" s="1"/>
  <c r="X155" i="7"/>
  <c r="BG175" i="7"/>
  <c r="BF175" i="7"/>
  <c r="BH175" i="7"/>
  <c r="BD175" i="7"/>
  <c r="BB175" i="7"/>
  <c r="AX175" i="7"/>
  <c r="BA175" i="7"/>
  <c r="BC175" i="7"/>
  <c r="AY175" i="7"/>
  <c r="AW175" i="7"/>
  <c r="BE175" i="7"/>
  <c r="AZ175" i="7"/>
  <c r="U181" i="7"/>
  <c r="AF79" i="7"/>
  <c r="AH79" i="7" s="1"/>
  <c r="AI79" i="7" s="1"/>
  <c r="AJ79" i="7" s="1"/>
  <c r="AB152" i="7"/>
  <c r="AC152" i="7"/>
  <c r="AD152" i="7" s="1"/>
  <c r="AF140" i="7"/>
  <c r="AH140" i="7" s="1"/>
  <c r="AF158" i="7"/>
  <c r="AH158" i="7" s="1"/>
  <c r="AI158" i="7" s="1"/>
  <c r="AJ158" i="7" s="1"/>
  <c r="AH185" i="7"/>
  <c r="AI185" i="7" s="1"/>
  <c r="AG185" i="7"/>
  <c r="X135" i="7"/>
  <c r="BG119" i="7"/>
  <c r="BF119" i="7"/>
  <c r="BB119" i="7"/>
  <c r="AX119" i="7"/>
  <c r="X119" i="7"/>
  <c r="BA119" i="7"/>
  <c r="AY119" i="7"/>
  <c r="BC119" i="7"/>
  <c r="BH119" i="7"/>
  <c r="BE119" i="7"/>
  <c r="AZ119" i="7"/>
  <c r="AW119" i="7"/>
  <c r="BD119" i="7"/>
  <c r="BG179" i="7"/>
  <c r="BF179" i="7"/>
  <c r="BE179" i="7"/>
  <c r="BB179" i="7"/>
  <c r="AX179" i="7"/>
  <c r="BC179" i="7"/>
  <c r="BA179" i="7"/>
  <c r="BH179" i="7"/>
  <c r="AZ179" i="7"/>
  <c r="BD179" i="7"/>
  <c r="AY179" i="7"/>
  <c r="AW179" i="7"/>
  <c r="AC87" i="7"/>
  <c r="AD87" i="7" s="1"/>
  <c r="AE99" i="7"/>
  <c r="Z99" i="7"/>
  <c r="AC15" i="7"/>
  <c r="AD15" i="7" s="1"/>
  <c r="AI15" i="7" s="1"/>
  <c r="BG15" i="7"/>
  <c r="BC15" i="7"/>
  <c r="BF15" i="7"/>
  <c r="BB15" i="7"/>
  <c r="BD15" i="7"/>
  <c r="AX15" i="7"/>
  <c r="X15" i="7"/>
  <c r="BA15" i="7"/>
  <c r="AW15" i="7"/>
  <c r="BH15" i="7"/>
  <c r="BE15" i="7"/>
  <c r="AY15" i="7"/>
  <c r="AZ15" i="7"/>
  <c r="X151" i="7"/>
  <c r="BE17" i="7"/>
  <c r="BH17" i="7"/>
  <c r="BD17" i="7"/>
  <c r="AZ17" i="7"/>
  <c r="AY17" i="7"/>
  <c r="BG17" i="7"/>
  <c r="BF17" i="7"/>
  <c r="BB17" i="7"/>
  <c r="BA17" i="7"/>
  <c r="AW17" i="7"/>
  <c r="BC17" i="7"/>
  <c r="AX17" i="7"/>
  <c r="X17" i="7"/>
  <c r="AF38" i="7"/>
  <c r="AH38" i="7" s="1"/>
  <c r="AD12" i="7"/>
  <c r="Z29" i="7"/>
  <c r="AF16" i="7"/>
  <c r="AH16" i="7" s="1"/>
  <c r="AI16" i="7" s="1"/>
  <c r="AJ16" i="7" s="1"/>
  <c r="Z27" i="7"/>
  <c r="AE27" i="7"/>
  <c r="BF46" i="7"/>
  <c r="BE46" i="7"/>
  <c r="BH46" i="7"/>
  <c r="BB46" i="7"/>
  <c r="BA46" i="7"/>
  <c r="AW46" i="7"/>
  <c r="BD46" i="7"/>
  <c r="AZ46" i="7"/>
  <c r="BC46" i="7"/>
  <c r="BG46" i="7"/>
  <c r="AX46" i="7"/>
  <c r="AY46" i="7"/>
  <c r="X46" i="7"/>
  <c r="AE56" i="7"/>
  <c r="AF25" i="7"/>
  <c r="AH25" i="7" s="1"/>
  <c r="AI25" i="7" s="1"/>
  <c r="AJ25" i="7" s="1"/>
  <c r="BH56" i="7"/>
  <c r="BD56" i="7"/>
  <c r="BG56" i="7"/>
  <c r="BC56" i="7"/>
  <c r="AY56" i="7"/>
  <c r="BF56" i="7"/>
  <c r="AX56" i="7"/>
  <c r="X56" i="7"/>
  <c r="BB56" i="7"/>
  <c r="BA56" i="7"/>
  <c r="AW56" i="7"/>
  <c r="BE56" i="7"/>
  <c r="AZ56" i="7"/>
  <c r="AF41" i="7"/>
  <c r="AH41" i="7" s="1"/>
  <c r="AI41" i="7" s="1"/>
  <c r="AJ41" i="7" s="1"/>
  <c r="AF17" i="7"/>
  <c r="AH17" i="7" s="1"/>
  <c r="BE61" i="7"/>
  <c r="BH61" i="7"/>
  <c r="BD61" i="7"/>
  <c r="BG61" i="7"/>
  <c r="BF61" i="7"/>
  <c r="AZ61" i="7"/>
  <c r="AY61" i="7"/>
  <c r="BC61" i="7"/>
  <c r="AX61" i="7"/>
  <c r="X61" i="7"/>
  <c r="BB61" i="7"/>
  <c r="BA61" i="7"/>
  <c r="AW61" i="7"/>
  <c r="BH120" i="7"/>
  <c r="BD120" i="7"/>
  <c r="BG120" i="7"/>
  <c r="BC120" i="7"/>
  <c r="BE120" i="7"/>
  <c r="AY120" i="7"/>
  <c r="BB120" i="7"/>
  <c r="AX120" i="7"/>
  <c r="X120" i="7"/>
  <c r="BF120" i="7"/>
  <c r="BA120" i="7"/>
  <c r="AZ120" i="7"/>
  <c r="AW120" i="7"/>
  <c r="Z66" i="7"/>
  <c r="AE66" i="7"/>
  <c r="AF80" i="7"/>
  <c r="AH80" i="7" s="1"/>
  <c r="AI80" i="7" s="1"/>
  <c r="AJ80" i="7" s="1"/>
  <c r="BE69" i="7"/>
  <c r="BH69" i="7"/>
  <c r="BD69" i="7"/>
  <c r="BG69" i="7"/>
  <c r="BF69" i="7"/>
  <c r="AZ69" i="7"/>
  <c r="BC69" i="7"/>
  <c r="BB69" i="7"/>
  <c r="AY69" i="7"/>
  <c r="AX69" i="7"/>
  <c r="BA69" i="7"/>
  <c r="AW69" i="7"/>
  <c r="X69" i="7"/>
  <c r="AF81" i="7"/>
  <c r="AH81" i="7" s="1"/>
  <c r="AI81" i="7" s="1"/>
  <c r="AJ81" i="7" s="1"/>
  <c r="BE89" i="7"/>
  <c r="BH89" i="7"/>
  <c r="BD89" i="7"/>
  <c r="BC89" i="7"/>
  <c r="BB89" i="7"/>
  <c r="AZ89" i="7"/>
  <c r="AY89" i="7"/>
  <c r="BA89" i="7"/>
  <c r="AW89" i="7"/>
  <c r="BF89" i="7"/>
  <c r="AX89" i="7"/>
  <c r="X89" i="7"/>
  <c r="BG89" i="7"/>
  <c r="AB113" i="7"/>
  <c r="AC113" i="7"/>
  <c r="AD113" i="7" s="1"/>
  <c r="Z23" i="7"/>
  <c r="BH100" i="7"/>
  <c r="BD100" i="7"/>
  <c r="BG100" i="7"/>
  <c r="BC100" i="7"/>
  <c r="BB100" i="7"/>
  <c r="AY100" i="7"/>
  <c r="BF100" i="7"/>
  <c r="BE100" i="7"/>
  <c r="AX100" i="7"/>
  <c r="BA100" i="7"/>
  <c r="AZ100" i="7"/>
  <c r="AW100" i="7"/>
  <c r="X100" i="7"/>
  <c r="AF118" i="7"/>
  <c r="AH118" i="7" s="1"/>
  <c r="AI118" i="7" s="1"/>
  <c r="AJ118" i="7" s="1"/>
  <c r="AI147" i="7"/>
  <c r="AJ147" i="7" s="1"/>
  <c r="AE147" i="7"/>
  <c r="AF178" i="7"/>
  <c r="AH178" i="7" s="1"/>
  <c r="AI178" i="7" s="1"/>
  <c r="AJ178" i="7" s="1"/>
  <c r="AE84" i="7"/>
  <c r="AB127" i="7"/>
  <c r="AC127" i="7"/>
  <c r="AD127" i="7" s="1"/>
  <c r="AF173" i="7"/>
  <c r="AH173" i="7" s="1"/>
  <c r="AE150" i="7"/>
  <c r="AF71" i="7"/>
  <c r="AH71" i="7" s="1"/>
  <c r="AF123" i="7"/>
  <c r="AH123" i="7" s="1"/>
  <c r="AI123" i="7" s="1"/>
  <c r="AJ123" i="7" s="1"/>
  <c r="AF70" i="7"/>
  <c r="AH70" i="7" s="1"/>
  <c r="AI70" i="7" s="1"/>
  <c r="AJ70" i="7" s="1"/>
  <c r="AF122" i="7"/>
  <c r="AH122" i="7" s="1"/>
  <c r="AI122" i="7" s="1"/>
  <c r="AJ122" i="7" s="1"/>
  <c r="AC186" i="7"/>
  <c r="X144" i="7"/>
  <c r="U162" i="7"/>
  <c r="BH40" i="7"/>
  <c r="BD40" i="7"/>
  <c r="BG40" i="7"/>
  <c r="BC40" i="7"/>
  <c r="BF40" i="7"/>
  <c r="AY40" i="7"/>
  <c r="AX40" i="7"/>
  <c r="BB40" i="7"/>
  <c r="X40" i="7"/>
  <c r="AZ40" i="7"/>
  <c r="BE40" i="7"/>
  <c r="BA40" i="7"/>
  <c r="AW40" i="7"/>
  <c r="AI26" i="7"/>
  <c r="AE26" i="7"/>
  <c r="BF54" i="7"/>
  <c r="BE54" i="7"/>
  <c r="BA54" i="7"/>
  <c r="AW54" i="7"/>
  <c r="BG54" i="7"/>
  <c r="AZ54" i="7"/>
  <c r="BB54" i="7"/>
  <c r="AY54" i="7"/>
  <c r="BH54" i="7"/>
  <c r="BC54" i="7"/>
  <c r="AX54" i="7"/>
  <c r="BD54" i="7"/>
  <c r="X54" i="7"/>
  <c r="AF33" i="7"/>
  <c r="AH33" i="7" s="1"/>
  <c r="BF50" i="7"/>
  <c r="BE50" i="7"/>
  <c r="BD50" i="7"/>
  <c r="BA50" i="7"/>
  <c r="AW50" i="7"/>
  <c r="AZ50" i="7"/>
  <c r="X50" i="7"/>
  <c r="AY50" i="7"/>
  <c r="BH50" i="7"/>
  <c r="BG50" i="7"/>
  <c r="BC50" i="7"/>
  <c r="BB50" i="7"/>
  <c r="AX50" i="7"/>
  <c r="AF56" i="7"/>
  <c r="AH56" i="7" s="1"/>
  <c r="AI56" i="7" s="1"/>
  <c r="AJ56" i="7" s="1"/>
  <c r="AH37" i="7"/>
  <c r="AF35" i="7"/>
  <c r="AH35" i="7" s="1"/>
  <c r="AG35" i="7"/>
  <c r="AK35" i="7" s="1"/>
  <c r="BF62" i="7"/>
  <c r="BE62" i="7"/>
  <c r="BC62" i="7"/>
  <c r="BB62" i="7"/>
  <c r="BA62" i="7"/>
  <c r="AW62" i="7"/>
  <c r="BG62" i="7"/>
  <c r="AZ62" i="7"/>
  <c r="AY62" i="7"/>
  <c r="BD62" i="7"/>
  <c r="AX62" i="7"/>
  <c r="BH62" i="7"/>
  <c r="X62" i="7"/>
  <c r="BH124" i="7"/>
  <c r="BD124" i="7"/>
  <c r="BG124" i="7"/>
  <c r="BC124" i="7"/>
  <c r="AY124" i="7"/>
  <c r="BB124" i="7"/>
  <c r="AX124" i="7"/>
  <c r="X124" i="7"/>
  <c r="AC124" i="7"/>
  <c r="AD124" i="7" s="1"/>
  <c r="BF124" i="7"/>
  <c r="AZ124" i="7"/>
  <c r="AW124" i="7"/>
  <c r="BA124" i="7"/>
  <c r="BE124" i="7"/>
  <c r="AC64" i="7"/>
  <c r="AD64" i="7" s="1"/>
  <c r="Z74" i="7"/>
  <c r="BG83" i="7"/>
  <c r="BF83" i="7"/>
  <c r="BB83" i="7"/>
  <c r="BC83" i="7"/>
  <c r="AX83" i="7"/>
  <c r="X83" i="7"/>
  <c r="BA83" i="7"/>
  <c r="AW83" i="7"/>
  <c r="BD83" i="7"/>
  <c r="AY83" i="7"/>
  <c r="AZ83" i="7"/>
  <c r="BH83" i="7"/>
  <c r="BE83" i="7"/>
  <c r="AF57" i="7"/>
  <c r="AH57" i="7" s="1"/>
  <c r="AG57" i="7"/>
  <c r="AK57" i="7" s="1"/>
  <c r="AC101" i="7"/>
  <c r="AD101" i="7" s="1"/>
  <c r="BE101" i="7"/>
  <c r="BH101" i="7"/>
  <c r="BD101" i="7"/>
  <c r="BG101" i="7"/>
  <c r="AZ101" i="7"/>
  <c r="BC101" i="7"/>
  <c r="BB101" i="7"/>
  <c r="AY101" i="7"/>
  <c r="AX101" i="7"/>
  <c r="AW101" i="7"/>
  <c r="BA101" i="7"/>
  <c r="X101" i="7"/>
  <c r="BF101" i="7"/>
  <c r="AF54" i="7"/>
  <c r="AH54" i="7" s="1"/>
  <c r="AI54" i="7" s="1"/>
  <c r="AJ54" i="7" s="1"/>
  <c r="AC74" i="7"/>
  <c r="AD74" i="7" s="1"/>
  <c r="AB96" i="7"/>
  <c r="AC96" i="7"/>
  <c r="AD96" i="7" s="1"/>
  <c r="AE139" i="7"/>
  <c r="AB100" i="7"/>
  <c r="AC100" i="7"/>
  <c r="AD100" i="7" s="1"/>
  <c r="AE67" i="7"/>
  <c r="AF166" i="7"/>
  <c r="AH166" i="7" s="1"/>
  <c r="AF84" i="7"/>
  <c r="AH84" i="7" s="1"/>
  <c r="AI84" i="7" s="1"/>
  <c r="AJ84" i="7" s="1"/>
  <c r="AD173" i="7"/>
  <c r="AF14" i="7"/>
  <c r="AH14" i="7" s="1"/>
  <c r="AG14" i="7"/>
  <c r="AK14" i="7" s="1"/>
  <c r="AE22" i="7"/>
  <c r="Z25" i="7"/>
  <c r="AE25" i="7"/>
  <c r="BH32" i="7"/>
  <c r="BD32" i="7"/>
  <c r="BG32" i="7"/>
  <c r="BC32" i="7"/>
  <c r="BE32" i="7"/>
  <c r="AY32" i="7"/>
  <c r="BB32" i="7"/>
  <c r="AX32" i="7"/>
  <c r="BA32" i="7"/>
  <c r="AZ32" i="7"/>
  <c r="AW32" i="7"/>
  <c r="BF32" i="7"/>
  <c r="X32" i="7"/>
  <c r="AI38" i="7"/>
  <c r="AE38" i="7"/>
  <c r="AE41" i="7"/>
  <c r="Z41" i="7"/>
  <c r="AF12" i="7"/>
  <c r="AH12" i="7" s="1"/>
  <c r="Z21" i="7"/>
  <c r="BE29" i="7"/>
  <c r="BH29" i="7"/>
  <c r="BD29" i="7"/>
  <c r="BF29" i="7"/>
  <c r="AZ29" i="7"/>
  <c r="BG29" i="7"/>
  <c r="BC29" i="7"/>
  <c r="AY29" i="7"/>
  <c r="X29" i="7"/>
  <c r="AX29" i="7"/>
  <c r="BA29" i="7"/>
  <c r="AW29" i="7"/>
  <c r="BB29" i="7"/>
  <c r="AF34" i="7"/>
  <c r="AH34" i="7" s="1"/>
  <c r="AE42" i="7"/>
  <c r="Z19" i="7"/>
  <c r="BG27" i="7"/>
  <c r="BC27" i="7"/>
  <c r="BF27" i="7"/>
  <c r="BB27" i="7"/>
  <c r="BE27" i="7"/>
  <c r="AX27" i="7"/>
  <c r="X27" i="7"/>
  <c r="BA27" i="7"/>
  <c r="AW27" i="7"/>
  <c r="BD27" i="7"/>
  <c r="AZ27" i="7"/>
  <c r="AY27" i="7"/>
  <c r="BH27" i="7"/>
  <c r="AC32" i="7"/>
  <c r="AD32" i="7" s="1"/>
  <c r="AF40" i="7"/>
  <c r="AH40" i="7" s="1"/>
  <c r="AI40" i="7" s="1"/>
  <c r="AJ40" i="7" s="1"/>
  <c r="AH13" i="7"/>
  <c r="AI31" i="7"/>
  <c r="AJ31" i="7" s="1"/>
  <c r="BG47" i="7"/>
  <c r="BC47" i="7"/>
  <c r="BF47" i="7"/>
  <c r="BB47" i="7"/>
  <c r="AX47" i="7"/>
  <c r="X47" i="7"/>
  <c r="BH47" i="7"/>
  <c r="BA47" i="7"/>
  <c r="AW47" i="7"/>
  <c r="BD47" i="7"/>
  <c r="BE47" i="7"/>
  <c r="AY47" i="7"/>
  <c r="AZ47" i="7"/>
  <c r="AB51" i="7"/>
  <c r="AC51" i="7"/>
  <c r="AD51" i="7" s="1"/>
  <c r="AE53" i="7"/>
  <c r="Z53" i="7"/>
  <c r="AC13" i="7"/>
  <c r="AD13" i="7" s="1"/>
  <c r="Z39" i="7"/>
  <c r="AE39" i="7"/>
  <c r="BG67" i="7"/>
  <c r="BF67" i="7"/>
  <c r="BB67" i="7"/>
  <c r="BC67" i="7"/>
  <c r="AX67" i="7"/>
  <c r="X67" i="7"/>
  <c r="BE67" i="7"/>
  <c r="BA67" i="7"/>
  <c r="AW67" i="7"/>
  <c r="BD67" i="7"/>
  <c r="AY67" i="7"/>
  <c r="AZ67" i="7"/>
  <c r="BH67" i="7"/>
  <c r="AC29" i="7"/>
  <c r="AD29" i="7" s="1"/>
  <c r="AI29" i="7" s="1"/>
  <c r="AJ29" i="7" s="1"/>
  <c r="AC17" i="7"/>
  <c r="AD17" i="7" s="1"/>
  <c r="BG55" i="7"/>
  <c r="BF55" i="7"/>
  <c r="BB55" i="7"/>
  <c r="BD55" i="7"/>
  <c r="AX55" i="7"/>
  <c r="X55" i="7"/>
  <c r="BA55" i="7"/>
  <c r="AW55" i="7"/>
  <c r="BE55" i="7"/>
  <c r="AY55" i="7"/>
  <c r="BC55" i="7"/>
  <c r="AZ55" i="7"/>
  <c r="BH55" i="7"/>
  <c r="AE70" i="7"/>
  <c r="Z70" i="7"/>
  <c r="BF78" i="7"/>
  <c r="BE78" i="7"/>
  <c r="BD78" i="7"/>
  <c r="BC78" i="7"/>
  <c r="BB78" i="7"/>
  <c r="BA78" i="7"/>
  <c r="AW78" i="7"/>
  <c r="BG78" i="7"/>
  <c r="AZ78" i="7"/>
  <c r="BH78" i="7"/>
  <c r="AY78" i="7"/>
  <c r="AX78" i="7"/>
  <c r="X78" i="7"/>
  <c r="BH84" i="7"/>
  <c r="BD84" i="7"/>
  <c r="BG84" i="7"/>
  <c r="BC84" i="7"/>
  <c r="BF84" i="7"/>
  <c r="BB84" i="7"/>
  <c r="AY84" i="7"/>
  <c r="AX84" i="7"/>
  <c r="BE84" i="7"/>
  <c r="AW84" i="7"/>
  <c r="AZ84" i="7"/>
  <c r="BA84" i="7"/>
  <c r="X84" i="7"/>
  <c r="BH116" i="7"/>
  <c r="BD116" i="7"/>
  <c r="BG116" i="7"/>
  <c r="BC116" i="7"/>
  <c r="BF116" i="7"/>
  <c r="AY116" i="7"/>
  <c r="BE116" i="7"/>
  <c r="BB116" i="7"/>
  <c r="AX116" i="7"/>
  <c r="BA116" i="7"/>
  <c r="X116" i="7"/>
  <c r="AZ116" i="7"/>
  <c r="AW116" i="7"/>
  <c r="Z45" i="7"/>
  <c r="AE45" i="7"/>
  <c r="Z57" i="7"/>
  <c r="BF66" i="7"/>
  <c r="BE66" i="7"/>
  <c r="BA66" i="7"/>
  <c r="AW66" i="7"/>
  <c r="BH66" i="7"/>
  <c r="AZ66" i="7"/>
  <c r="BG66" i="7"/>
  <c r="X66" i="7"/>
  <c r="BB66" i="7"/>
  <c r="BD66" i="7"/>
  <c r="BC66" i="7"/>
  <c r="AY66" i="7"/>
  <c r="AX66" i="7"/>
  <c r="AF72" i="7"/>
  <c r="AH72" i="7" s="1"/>
  <c r="AI72" i="7" s="1"/>
  <c r="AJ72" i="7" s="1"/>
  <c r="AE80" i="7"/>
  <c r="Z107" i="7"/>
  <c r="AE107" i="7"/>
  <c r="Z115" i="7"/>
  <c r="Z123" i="7"/>
  <c r="AE123" i="7"/>
  <c r="BE49" i="7"/>
  <c r="BH49" i="7"/>
  <c r="BD49" i="7"/>
  <c r="AZ49" i="7"/>
  <c r="BG49" i="7"/>
  <c r="BC49" i="7"/>
  <c r="AY49" i="7"/>
  <c r="BA49" i="7"/>
  <c r="AW49" i="7"/>
  <c r="BB49" i="7"/>
  <c r="AX49" i="7"/>
  <c r="BF49" i="7"/>
  <c r="X49" i="7"/>
  <c r="BH60" i="7"/>
  <c r="BD60" i="7"/>
  <c r="BG60" i="7"/>
  <c r="BC60" i="7"/>
  <c r="AY60" i="7"/>
  <c r="BE60" i="7"/>
  <c r="AX60" i="7"/>
  <c r="BA60" i="7"/>
  <c r="AZ60" i="7"/>
  <c r="AW60" i="7"/>
  <c r="BB60" i="7"/>
  <c r="BF60" i="7"/>
  <c r="X60" i="7"/>
  <c r="AE65" i="7"/>
  <c r="AF73" i="7"/>
  <c r="AH73" i="7" s="1"/>
  <c r="AI73" i="7" s="1"/>
  <c r="AJ73" i="7" s="1"/>
  <c r="BH80" i="7"/>
  <c r="BD80" i="7"/>
  <c r="BG80" i="7"/>
  <c r="BC80" i="7"/>
  <c r="BE80" i="7"/>
  <c r="AY80" i="7"/>
  <c r="BF80" i="7"/>
  <c r="BB80" i="7"/>
  <c r="AX80" i="7"/>
  <c r="AZ80" i="7"/>
  <c r="X80" i="7"/>
  <c r="BA80" i="7"/>
  <c r="AW80" i="7"/>
  <c r="BG91" i="7"/>
  <c r="BF91" i="7"/>
  <c r="BB91" i="7"/>
  <c r="BD91" i="7"/>
  <c r="AX91" i="7"/>
  <c r="X91" i="7"/>
  <c r="BA91" i="7"/>
  <c r="BC91" i="7"/>
  <c r="AY91" i="7"/>
  <c r="BE91" i="7"/>
  <c r="AZ91" i="7"/>
  <c r="AW91" i="7"/>
  <c r="BH91" i="7"/>
  <c r="BE97" i="7"/>
  <c r="BH97" i="7"/>
  <c r="BD97" i="7"/>
  <c r="AC97" i="7"/>
  <c r="AD97" i="7" s="1"/>
  <c r="AZ97" i="7"/>
  <c r="AY97" i="7"/>
  <c r="AW97" i="7"/>
  <c r="BG97" i="7"/>
  <c r="BF97" i="7"/>
  <c r="BA97" i="7"/>
  <c r="AX97" i="7"/>
  <c r="BC97" i="7"/>
  <c r="BB97" i="7"/>
  <c r="X97" i="7"/>
  <c r="BG31" i="7"/>
  <c r="BC31" i="7"/>
  <c r="BF31" i="7"/>
  <c r="BB31" i="7"/>
  <c r="BH31" i="7"/>
  <c r="AX31" i="7"/>
  <c r="X31" i="7"/>
  <c r="BD31" i="7"/>
  <c r="BA31" i="7"/>
  <c r="AW31" i="7"/>
  <c r="BE31" i="7"/>
  <c r="AZ31" i="7"/>
  <c r="AY31" i="7"/>
  <c r="AC62" i="7"/>
  <c r="AD62" i="7" s="1"/>
  <c r="AC111" i="7"/>
  <c r="AD111" i="7" s="1"/>
  <c r="AE111" i="7" s="1"/>
  <c r="AF53" i="7"/>
  <c r="AH53" i="7" s="1"/>
  <c r="AI53" i="7" s="1"/>
  <c r="AJ53" i="7" s="1"/>
  <c r="Z87" i="7"/>
  <c r="AE87" i="7"/>
  <c r="AE95" i="7"/>
  <c r="Z95" i="7"/>
  <c r="BG103" i="7"/>
  <c r="BF103" i="7"/>
  <c r="BB103" i="7"/>
  <c r="AX103" i="7"/>
  <c r="X103" i="7"/>
  <c r="BH103" i="7"/>
  <c r="BA103" i="7"/>
  <c r="BD103" i="7"/>
  <c r="AZ103" i="7"/>
  <c r="BC103" i="7"/>
  <c r="AY103" i="7"/>
  <c r="BE103" i="7"/>
  <c r="AW103" i="7"/>
  <c r="BE113" i="7"/>
  <c r="BH113" i="7"/>
  <c r="BD113" i="7"/>
  <c r="AZ113" i="7"/>
  <c r="AY113" i="7"/>
  <c r="BG113" i="7"/>
  <c r="AW113" i="7"/>
  <c r="BF113" i="7"/>
  <c r="BC113" i="7"/>
  <c r="BA113" i="7"/>
  <c r="BB113" i="7"/>
  <c r="X113" i="7"/>
  <c r="AX113" i="7"/>
  <c r="AF128" i="7"/>
  <c r="AH128" i="7" s="1"/>
  <c r="AI128" i="7" s="1"/>
  <c r="AJ128" i="7" s="1"/>
  <c r="AF138" i="7"/>
  <c r="AH138" i="7" s="1"/>
  <c r="AI138" i="7" s="1"/>
  <c r="AC23" i="7"/>
  <c r="AD23" i="7" s="1"/>
  <c r="AI23" i="7" s="1"/>
  <c r="AJ23" i="7" s="1"/>
  <c r="BG23" i="7"/>
  <c r="BC23" i="7"/>
  <c r="BF23" i="7"/>
  <c r="BB23" i="7"/>
  <c r="BH23" i="7"/>
  <c r="AX23" i="7"/>
  <c r="X23" i="7"/>
  <c r="BE23" i="7"/>
  <c r="BD23" i="7"/>
  <c r="BA23" i="7"/>
  <c r="AW23" i="7"/>
  <c r="AZ23" i="7"/>
  <c r="AY23" i="7"/>
  <c r="AF75" i="7"/>
  <c r="AH75" i="7" s="1"/>
  <c r="AC116" i="7"/>
  <c r="AD116" i="7" s="1"/>
  <c r="AH124" i="7"/>
  <c r="AH68" i="7"/>
  <c r="AF110" i="7"/>
  <c r="AH110" i="7" s="1"/>
  <c r="AI110" i="7" s="1"/>
  <c r="AJ110" i="7" s="1"/>
  <c r="AC115" i="7"/>
  <c r="AD115" i="7" s="1"/>
  <c r="AI117" i="7"/>
  <c r="AJ117" i="7" s="1"/>
  <c r="AE117" i="7"/>
  <c r="AC134" i="7"/>
  <c r="AD134" i="7" s="1"/>
  <c r="AB134" i="7"/>
  <c r="AC156" i="7"/>
  <c r="AD156" i="7" s="1"/>
  <c r="AB156" i="7"/>
  <c r="AB176" i="7"/>
  <c r="AC176" i="7"/>
  <c r="AD176" i="7" s="1"/>
  <c r="AH62" i="7"/>
  <c r="AC83" i="7"/>
  <c r="AD83" i="7" s="1"/>
  <c r="BH92" i="7"/>
  <c r="BD92" i="7"/>
  <c r="BG92" i="7"/>
  <c r="BC92" i="7"/>
  <c r="BF92" i="7"/>
  <c r="BE92" i="7"/>
  <c r="AY92" i="7"/>
  <c r="AX92" i="7"/>
  <c r="AZ92" i="7"/>
  <c r="X92" i="7"/>
  <c r="BB92" i="7"/>
  <c r="BA92" i="7"/>
  <c r="AW92" i="7"/>
  <c r="AF107" i="7"/>
  <c r="AH107" i="7" s="1"/>
  <c r="AI107" i="7" s="1"/>
  <c r="AJ107" i="7" s="1"/>
  <c r="BF127" i="7"/>
  <c r="BE127" i="7"/>
  <c r="BC127" i="7"/>
  <c r="BA127" i="7"/>
  <c r="AW127" i="7"/>
  <c r="BG127" i="7"/>
  <c r="AZ127" i="7"/>
  <c r="BH127" i="7"/>
  <c r="BB127" i="7"/>
  <c r="AY127" i="7"/>
  <c r="AX127" i="7"/>
  <c r="BD127" i="7"/>
  <c r="X127" i="7"/>
  <c r="AI145" i="7"/>
  <c r="AJ145" i="7" s="1"/>
  <c r="AE145" i="7"/>
  <c r="AB155" i="7"/>
  <c r="AC155" i="7"/>
  <c r="AD155" i="7" s="1"/>
  <c r="AB175" i="7"/>
  <c r="AC175" i="7"/>
  <c r="AD175" i="7" s="1"/>
  <c r="BE81" i="7"/>
  <c r="BH81" i="7"/>
  <c r="BD81" i="7"/>
  <c r="AZ81" i="7"/>
  <c r="AY81" i="7"/>
  <c r="BA81" i="7"/>
  <c r="AW81" i="7"/>
  <c r="BG81" i="7"/>
  <c r="BF81" i="7"/>
  <c r="BB81" i="7"/>
  <c r="X81" i="7"/>
  <c r="AX81" i="7"/>
  <c r="BC81" i="7"/>
  <c r="X152" i="7"/>
  <c r="AC71" i="7"/>
  <c r="AD71" i="7" s="1"/>
  <c r="AV137" i="7"/>
  <c r="AI140" i="7"/>
  <c r="AJ140" i="7" s="1"/>
  <c r="AE140" i="7"/>
  <c r="AE158" i="7"/>
  <c r="AH61" i="7"/>
  <c r="AI61" i="7" s="1"/>
  <c r="AJ61" i="7" s="1"/>
  <c r="AH99" i="7"/>
  <c r="AI99" i="7" s="1"/>
  <c r="AJ99" i="7" s="1"/>
  <c r="AB135" i="7"/>
  <c r="AC135" i="7"/>
  <c r="AD135" i="7" s="1"/>
  <c r="AE169" i="7"/>
  <c r="Z119" i="7"/>
  <c r="AE119" i="7"/>
  <c r="AC179" i="7"/>
  <c r="AD179" i="7" s="1"/>
  <c r="AB179" i="7"/>
  <c r="AC144" i="7"/>
  <c r="AB144" i="7"/>
  <c r="AJ15" i="7"/>
  <c r="AE15" i="7"/>
  <c r="Z15" i="7"/>
  <c r="AB151" i="7"/>
  <c r="AC151" i="7"/>
  <c r="AD151" i="7" s="1"/>
  <c r="AC189" i="7"/>
  <c r="U193" i="7"/>
  <c r="AV187" i="7"/>
  <c r="AV188" i="7"/>
  <c r="AG189" i="7"/>
  <c r="AH189" i="7"/>
  <c r="AI189" i="7" s="1"/>
  <c r="AI187" i="7"/>
  <c r="AG38" i="7" l="1"/>
  <c r="AN49" i="7"/>
  <c r="AO49" i="7" s="1"/>
  <c r="AV154" i="7"/>
  <c r="AV164" i="7"/>
  <c r="AV130" i="7"/>
  <c r="AG82" i="7"/>
  <c r="AG112" i="7"/>
  <c r="AG27" i="7"/>
  <c r="AK27" i="7" s="1"/>
  <c r="AL111" i="7"/>
  <c r="AV109" i="7"/>
  <c r="AV125" i="7"/>
  <c r="BA193" i="7"/>
  <c r="AG107" i="7"/>
  <c r="AN21" i="7"/>
  <c r="AO21" i="7" s="1"/>
  <c r="AL68" i="7"/>
  <c r="AL78" i="7"/>
  <c r="BE193" i="7"/>
  <c r="AY193" i="7"/>
  <c r="AJ109" i="7"/>
  <c r="AN109" i="7"/>
  <c r="AO109" i="7" s="1"/>
  <c r="AJ38" i="7"/>
  <c r="AN38" i="7"/>
  <c r="AO38" i="7" s="1"/>
  <c r="AK38" i="7"/>
  <c r="AM38" i="7" s="1"/>
  <c r="AL38" i="7"/>
  <c r="AK107" i="7"/>
  <c r="AM107" i="7" s="1"/>
  <c r="AN107" i="7" s="1"/>
  <c r="AO107" i="7" s="1"/>
  <c r="AL107" i="7"/>
  <c r="AL14" i="7"/>
  <c r="AM14" i="7"/>
  <c r="AL57" i="7"/>
  <c r="AM57" i="7"/>
  <c r="AL35" i="7"/>
  <c r="AM35" i="7"/>
  <c r="AJ26" i="7"/>
  <c r="AG123" i="7"/>
  <c r="AJ185" i="7"/>
  <c r="AG26" i="7"/>
  <c r="AG94" i="7"/>
  <c r="AG93" i="7"/>
  <c r="AK93" i="7" s="1"/>
  <c r="AI154" i="7"/>
  <c r="AJ154" i="7" s="1"/>
  <c r="AG87" i="7"/>
  <c r="AK87" i="7" s="1"/>
  <c r="AI159" i="7"/>
  <c r="AJ159" i="7" s="1"/>
  <c r="AV147" i="7"/>
  <c r="AG174" i="7"/>
  <c r="AK174" i="7" s="1"/>
  <c r="AN15" i="7"/>
  <c r="AO15" i="7" s="1"/>
  <c r="AN98" i="7"/>
  <c r="AO98" i="7" s="1"/>
  <c r="AL157" i="7"/>
  <c r="AO183" i="7"/>
  <c r="AL187" i="7"/>
  <c r="AL125" i="7"/>
  <c r="AN43" i="7"/>
  <c r="AO43" i="7" s="1"/>
  <c r="AN99" i="7"/>
  <c r="AO99" i="7" s="1"/>
  <c r="AN23" i="7"/>
  <c r="AO23" i="7" s="1"/>
  <c r="AN102" i="7"/>
  <c r="AO102" i="7" s="1"/>
  <c r="AL130" i="7"/>
  <c r="AL27" i="7"/>
  <c r="AM27" i="7"/>
  <c r="AN27" i="7" s="1"/>
  <c r="AO27" i="7" s="1"/>
  <c r="AI30" i="7"/>
  <c r="AN184" i="7"/>
  <c r="AO184" i="7" s="1"/>
  <c r="AN187" i="7"/>
  <c r="AO187" i="7" s="1"/>
  <c r="AN119" i="7"/>
  <c r="AO119" i="7" s="1"/>
  <c r="AI14" i="7"/>
  <c r="AJ14" i="7" s="1"/>
  <c r="BD171" i="7"/>
  <c r="AV102" i="7"/>
  <c r="AI106" i="7"/>
  <c r="AJ106" i="7" s="1"/>
  <c r="AN117" i="7"/>
  <c r="AO117" i="7" s="1"/>
  <c r="AN45" i="7"/>
  <c r="AO45" i="7" s="1"/>
  <c r="AN125" i="7"/>
  <c r="AO125" i="7" s="1"/>
  <c r="AN39" i="7"/>
  <c r="AO39" i="7" s="1"/>
  <c r="AN61" i="7"/>
  <c r="AO61" i="7" s="1"/>
  <c r="AN31" i="7"/>
  <c r="AO31" i="7" s="1"/>
  <c r="AN130" i="7"/>
  <c r="AO130" i="7" s="1"/>
  <c r="AK185" i="7"/>
  <c r="AM185" i="7" s="1"/>
  <c r="AJ177" i="7"/>
  <c r="AK82" i="7"/>
  <c r="AM82" i="7" s="1"/>
  <c r="AN82" i="7" s="1"/>
  <c r="AO82" i="7" s="1"/>
  <c r="AK112" i="7"/>
  <c r="AM112" i="7" s="1"/>
  <c r="AN112" i="7" s="1"/>
  <c r="AO112" i="7" s="1"/>
  <c r="AJ189" i="7"/>
  <c r="AK189" i="7"/>
  <c r="AM189" i="7" s="1"/>
  <c r="AN189" i="7" s="1"/>
  <c r="AO189" i="7" s="1"/>
  <c r="AG110" i="7"/>
  <c r="AJ138" i="7"/>
  <c r="AG53" i="7"/>
  <c r="AK53" i="7" s="1"/>
  <c r="AL186" i="7"/>
  <c r="AM186" i="7"/>
  <c r="AN186" i="7" s="1"/>
  <c r="AO186" i="7" s="1"/>
  <c r="BH171" i="7"/>
  <c r="AF131" i="7"/>
  <c r="AH131" i="7" s="1"/>
  <c r="AV94" i="7"/>
  <c r="AI169" i="7"/>
  <c r="AJ169" i="7" s="1"/>
  <c r="AV177" i="7"/>
  <c r="AV174" i="7"/>
  <c r="AI131" i="7"/>
  <c r="AJ131" i="7" s="1"/>
  <c r="AL109" i="7"/>
  <c r="AL184" i="7"/>
  <c r="AN90" i="7"/>
  <c r="AO90" i="7" s="1"/>
  <c r="AN86" i="7"/>
  <c r="AO86" i="7" s="1"/>
  <c r="AN78" i="7"/>
  <c r="AO78" i="7" s="1"/>
  <c r="AL119" i="7"/>
  <c r="AL188" i="7"/>
  <c r="AI25" i="4"/>
  <c r="AZ24" i="4"/>
  <c r="AL43" i="5"/>
  <c r="AM43" i="5" s="1"/>
  <c r="AH43" i="5"/>
  <c r="AK55" i="5"/>
  <c r="AL45" i="5"/>
  <c r="AM45" i="5" s="1"/>
  <c r="AH45" i="5"/>
  <c r="AY42" i="5"/>
  <c r="AZ55" i="5"/>
  <c r="F12" i="9" s="1"/>
  <c r="AA55" i="5"/>
  <c r="BI55" i="5"/>
  <c r="O12" i="9" s="1"/>
  <c r="AL47" i="5"/>
  <c r="AM47" i="5" s="1"/>
  <c r="AH47" i="5"/>
  <c r="AY46" i="5"/>
  <c r="AL46" i="5"/>
  <c r="AM46" i="5" s="1"/>
  <c r="AH46" i="5"/>
  <c r="AY43" i="5"/>
  <c r="AG42" i="5"/>
  <c r="AF55" i="5"/>
  <c r="BD55" i="5"/>
  <c r="J12" i="9" s="1"/>
  <c r="AY47" i="5"/>
  <c r="BH55" i="5"/>
  <c r="N12" i="9" s="1"/>
  <c r="BC55" i="5"/>
  <c r="I12" i="9" s="1"/>
  <c r="AZ26" i="4"/>
  <c r="AR56" i="4"/>
  <c r="AM62" i="4"/>
  <c r="AN56" i="4"/>
  <c r="L69" i="4"/>
  <c r="L75" i="4" s="1"/>
  <c r="AD66" i="4"/>
  <c r="AZ21" i="4"/>
  <c r="F10" i="9"/>
  <c r="E10" i="9" s="1"/>
  <c r="E14" i="9"/>
  <c r="AN30" i="4"/>
  <c r="AR30" i="4"/>
  <c r="AS30" i="4" s="1"/>
  <c r="AS37" i="4"/>
  <c r="AS42" i="4" s="1"/>
  <c r="AR42" i="4"/>
  <c r="BG35" i="4"/>
  <c r="BG50" i="4" s="1"/>
  <c r="AM71" i="4"/>
  <c r="AN60" i="4"/>
  <c r="AR29" i="4"/>
  <c r="AN29" i="4"/>
  <c r="AI56" i="4"/>
  <c r="AI62" i="4" s="1"/>
  <c r="AH62" i="4"/>
  <c r="AN32" i="4"/>
  <c r="AR32" i="4"/>
  <c r="AS32" i="4" s="1"/>
  <c r="AZ58" i="4"/>
  <c r="AZ62" i="4" s="1"/>
  <c r="BC35" i="4"/>
  <c r="AN21" i="4"/>
  <c r="AR21" i="4"/>
  <c r="AS21" i="4" s="1"/>
  <c r="AN24" i="4"/>
  <c r="AR24" i="4"/>
  <c r="AS24" i="4" s="1"/>
  <c r="AD35" i="4"/>
  <c r="AD64" i="4" s="1"/>
  <c r="AQ15" i="4"/>
  <c r="AQ35" i="4" s="1"/>
  <c r="AQ50" i="4" s="1"/>
  <c r="AQ75" i="4" s="1"/>
  <c r="AN25" i="4"/>
  <c r="AR25" i="4"/>
  <c r="AS25" i="4" s="1"/>
  <c r="AN26" i="4"/>
  <c r="AS26" i="4"/>
  <c r="AN27" i="4"/>
  <c r="AR27" i="4"/>
  <c r="AS27" i="4" s="1"/>
  <c r="AZ25" i="4"/>
  <c r="AV169" i="7"/>
  <c r="AI115" i="7"/>
  <c r="AJ115" i="7" s="1"/>
  <c r="AI13" i="7"/>
  <c r="AG40" i="7"/>
  <c r="AE131" i="7"/>
  <c r="AE30" i="7"/>
  <c r="BD193" i="7"/>
  <c r="AG80" i="7"/>
  <c r="AG137" i="7"/>
  <c r="AG52" i="7"/>
  <c r="AV43" i="7"/>
  <c r="AG91" i="7"/>
  <c r="AK91" i="7" s="1"/>
  <c r="AG24" i="7"/>
  <c r="AG147" i="7"/>
  <c r="AK147" i="7" s="1"/>
  <c r="AI44" i="7"/>
  <c r="AJ44" i="7" s="1"/>
  <c r="AG139" i="7"/>
  <c r="AV117" i="7"/>
  <c r="AG48" i="7"/>
  <c r="AV16" i="7"/>
  <c r="AX181" i="7"/>
  <c r="E24" i="9"/>
  <c r="AV105" i="7"/>
  <c r="AV98" i="7"/>
  <c r="AV65" i="7"/>
  <c r="AV139" i="7"/>
  <c r="AI34" i="7"/>
  <c r="AV118" i="7"/>
  <c r="AZ193" i="7"/>
  <c r="AV81" i="7"/>
  <c r="AV92" i="7"/>
  <c r="AG72" i="7"/>
  <c r="AI17" i="7"/>
  <c r="AJ17" i="7" s="1"/>
  <c r="AG33" i="7"/>
  <c r="AK33" i="7" s="1"/>
  <c r="AG178" i="7"/>
  <c r="AG118" i="7"/>
  <c r="AG17" i="7"/>
  <c r="AG25" i="7"/>
  <c r="AG115" i="7"/>
  <c r="AG95" i="7"/>
  <c r="AK95" i="7" s="1"/>
  <c r="BB171" i="7"/>
  <c r="AZ171" i="7"/>
  <c r="BA171" i="7"/>
  <c r="AV184" i="7"/>
  <c r="AG44" i="7"/>
  <c r="AV52" i="7"/>
  <c r="AV26" i="7"/>
  <c r="AV48" i="7"/>
  <c r="AV12" i="7"/>
  <c r="AI83" i="7"/>
  <c r="AJ83" i="7" s="1"/>
  <c r="AG75" i="7"/>
  <c r="AK75" i="7" s="1"/>
  <c r="AG138" i="7"/>
  <c r="AG84" i="7"/>
  <c r="AV101" i="7"/>
  <c r="AG140" i="7"/>
  <c r="AG79" i="7"/>
  <c r="AK79" i="7" s="1"/>
  <c r="BE181" i="7"/>
  <c r="BH181" i="7"/>
  <c r="AG145" i="7"/>
  <c r="AK145" i="7" s="1"/>
  <c r="AC171" i="7"/>
  <c r="AV148" i="7"/>
  <c r="AV134" i="7"/>
  <c r="AG88" i="7"/>
  <c r="AG64" i="7"/>
  <c r="AV68" i="7"/>
  <c r="AV75" i="7"/>
  <c r="AG19" i="7"/>
  <c r="AG63" i="7"/>
  <c r="AK63" i="7" s="1"/>
  <c r="BC193" i="7"/>
  <c r="BC171" i="7"/>
  <c r="BE171" i="7"/>
  <c r="AF132" i="7"/>
  <c r="AH132" i="7" s="1"/>
  <c r="AI132" i="7" s="1"/>
  <c r="AJ132" i="7" s="1"/>
  <c r="AV110" i="7"/>
  <c r="AV173" i="7"/>
  <c r="AV150" i="7"/>
  <c r="AG160" i="7"/>
  <c r="AV149" i="7"/>
  <c r="AV145" i="7"/>
  <c r="AV131" i="7"/>
  <c r="AE146" i="7"/>
  <c r="AG106" i="7"/>
  <c r="AV62" i="7"/>
  <c r="AZ162" i="7"/>
  <c r="BC162" i="7"/>
  <c r="BG193" i="7"/>
  <c r="BB193" i="7"/>
  <c r="AE29" i="7"/>
  <c r="AV123" i="7"/>
  <c r="AV115" i="7"/>
  <c r="AV107" i="7"/>
  <c r="AV25" i="7"/>
  <c r="AX193" i="7"/>
  <c r="AX171" i="7"/>
  <c r="BF171" i="7"/>
  <c r="AV165" i="7"/>
  <c r="AV128" i="7"/>
  <c r="AV30" i="7"/>
  <c r="AE132" i="7"/>
  <c r="AV44" i="7"/>
  <c r="AV122" i="7"/>
  <c r="AV34" i="7"/>
  <c r="AV132" i="7"/>
  <c r="AV18" i="7"/>
  <c r="AF146" i="7"/>
  <c r="AH146" i="7" s="1"/>
  <c r="AI146" i="7" s="1"/>
  <c r="AJ146" i="7" s="1"/>
  <c r="AG146" i="7"/>
  <c r="AV114" i="7"/>
  <c r="BD181" i="7"/>
  <c r="AV14" i="7"/>
  <c r="AE167" i="7"/>
  <c r="AI62" i="7"/>
  <c r="AJ62" i="7" s="1"/>
  <c r="AV49" i="7"/>
  <c r="AE115" i="7"/>
  <c r="AV27" i="7"/>
  <c r="AG34" i="7"/>
  <c r="AG12" i="7"/>
  <c r="AG56" i="7"/>
  <c r="AG122" i="7"/>
  <c r="AV100" i="7"/>
  <c r="AV61" i="7"/>
  <c r="AG16" i="7"/>
  <c r="AV151" i="7"/>
  <c r="AV119" i="7"/>
  <c r="AG158" i="7"/>
  <c r="AG83" i="7"/>
  <c r="AK83" i="7" s="1"/>
  <c r="AG67" i="7"/>
  <c r="AK67" i="7" s="1"/>
  <c r="AV95" i="7"/>
  <c r="AV57" i="7"/>
  <c r="AI19" i="7"/>
  <c r="AJ19" i="7" s="1"/>
  <c r="AV59" i="7"/>
  <c r="AG59" i="7"/>
  <c r="AK59" i="7" s="1"/>
  <c r="AG154" i="7"/>
  <c r="AV104" i="7"/>
  <c r="AG153" i="7"/>
  <c r="AK153" i="7" s="1"/>
  <c r="BG171" i="7"/>
  <c r="AV121" i="7"/>
  <c r="AV71" i="7"/>
  <c r="AG159" i="7"/>
  <c r="AF167" i="7"/>
  <c r="AH167" i="7" s="1"/>
  <c r="AI167" i="7" s="1"/>
  <c r="AJ167" i="7" s="1"/>
  <c r="AV167" i="7"/>
  <c r="AV22" i="7"/>
  <c r="AV106" i="7"/>
  <c r="AV82" i="7"/>
  <c r="AV38" i="7"/>
  <c r="AG164" i="7"/>
  <c r="AK164" i="7" s="1"/>
  <c r="AV42" i="7"/>
  <c r="AV146" i="7"/>
  <c r="BG64" i="4"/>
  <c r="L13" i="9"/>
  <c r="AM23" i="4"/>
  <c r="AI23" i="4"/>
  <c r="BK35" i="4"/>
  <c r="BK50" i="4" s="1"/>
  <c r="AZ20" i="4"/>
  <c r="BA35" i="4"/>
  <c r="BD35" i="4"/>
  <c r="BD50" i="4" s="1"/>
  <c r="BH35" i="4"/>
  <c r="BH50" i="4" s="1"/>
  <c r="AZ22" i="4"/>
  <c r="AB35" i="4"/>
  <c r="AB64" i="4" s="1"/>
  <c r="AL35" i="4"/>
  <c r="AL50" i="4" s="1"/>
  <c r="AL64" i="4" s="1"/>
  <c r="BE35" i="4"/>
  <c r="BE50" i="4" s="1"/>
  <c r="BI35" i="4"/>
  <c r="BI50" i="4" s="1"/>
  <c r="BL35" i="4"/>
  <c r="BL50" i="4" s="1"/>
  <c r="AM22" i="4"/>
  <c r="AI22" i="4"/>
  <c r="AZ23" i="4"/>
  <c r="BJ35" i="4"/>
  <c r="BJ50" i="4" s="1"/>
  <c r="BB35" i="4"/>
  <c r="BB50" i="4" s="1"/>
  <c r="BF35" i="4"/>
  <c r="BF50" i="4" s="1"/>
  <c r="AH20" i="4"/>
  <c r="AG35" i="4"/>
  <c r="AG64" i="4" s="1"/>
  <c r="AF151" i="7"/>
  <c r="AH151" i="7" s="1"/>
  <c r="AI151" i="7" s="1"/>
  <c r="AJ151" i="7" s="1"/>
  <c r="AE134" i="7"/>
  <c r="AV55" i="7"/>
  <c r="AE96" i="7"/>
  <c r="X162" i="7"/>
  <c r="AD142" i="7"/>
  <c r="AI12" i="7"/>
  <c r="AE12" i="7"/>
  <c r="AE36" i="7"/>
  <c r="AF77" i="7"/>
  <c r="AH77" i="7" s="1"/>
  <c r="AI77" i="7" s="1"/>
  <c r="AJ77" i="7" s="1"/>
  <c r="AI76" i="7"/>
  <c r="AE76" i="7"/>
  <c r="AE28" i="7"/>
  <c r="AV185" i="7"/>
  <c r="AE89" i="7"/>
  <c r="AE20" i="7"/>
  <c r="X142" i="7"/>
  <c r="BH142" i="7"/>
  <c r="AD144" i="7"/>
  <c r="AC162" i="7"/>
  <c r="AV127" i="7"/>
  <c r="AV31" i="7"/>
  <c r="AV84" i="7"/>
  <c r="AF51" i="7"/>
  <c r="AH51" i="7" s="1"/>
  <c r="AV29" i="7"/>
  <c r="AV32" i="7"/>
  <c r="AX162" i="7"/>
  <c r="AV186" i="7"/>
  <c r="AV15" i="7"/>
  <c r="AV155" i="7"/>
  <c r="AI166" i="7"/>
  <c r="AJ166" i="7" s="1"/>
  <c r="AE166" i="7"/>
  <c r="AD171" i="7"/>
  <c r="AF121" i="7"/>
  <c r="AH121" i="7" s="1"/>
  <c r="AE77" i="7"/>
  <c r="AI57" i="7"/>
  <c r="AJ57" i="7" s="1"/>
  <c r="AE55" i="7"/>
  <c r="AE47" i="7"/>
  <c r="AI24" i="7"/>
  <c r="AJ24" i="7" s="1"/>
  <c r="AE24" i="7"/>
  <c r="Z142" i="7"/>
  <c r="Z214" i="7" s="1"/>
  <c r="AE17" i="7"/>
  <c r="AV74" i="7"/>
  <c r="AV51" i="7"/>
  <c r="AV37" i="7"/>
  <c r="AV33" i="7"/>
  <c r="AF89" i="7"/>
  <c r="AH89" i="7" s="1"/>
  <c r="AI89" i="7" s="1"/>
  <c r="AJ89" i="7" s="1"/>
  <c r="AX142" i="7"/>
  <c r="BF142" i="7"/>
  <c r="AF179" i="7"/>
  <c r="AH179" i="7" s="1"/>
  <c r="AI179" i="7" s="1"/>
  <c r="AJ179" i="7" s="1"/>
  <c r="AF135" i="7"/>
  <c r="AH135" i="7" s="1"/>
  <c r="AI71" i="7"/>
  <c r="AJ71" i="7" s="1"/>
  <c r="AE71" i="7"/>
  <c r="AV152" i="7"/>
  <c r="AF155" i="7"/>
  <c r="AH155" i="7" s="1"/>
  <c r="AE156" i="7"/>
  <c r="AV103" i="7"/>
  <c r="AV97" i="7"/>
  <c r="AV91" i="7"/>
  <c r="AV80" i="7"/>
  <c r="AV60" i="7"/>
  <c r="AV47" i="7"/>
  <c r="AE21" i="7"/>
  <c r="AF100" i="7"/>
  <c r="AH100" i="7" s="1"/>
  <c r="AI100" i="7" s="1"/>
  <c r="AJ100" i="7" s="1"/>
  <c r="AI74" i="7"/>
  <c r="AJ74" i="7" s="1"/>
  <c r="AI101" i="7"/>
  <c r="AJ101" i="7" s="1"/>
  <c r="AE101" i="7"/>
  <c r="AI64" i="7"/>
  <c r="AJ64" i="7" s="1"/>
  <c r="AE64" i="7"/>
  <c r="BE162" i="7"/>
  <c r="AV144" i="7"/>
  <c r="AW162" i="7"/>
  <c r="BB162" i="7"/>
  <c r="BD162" i="7"/>
  <c r="AF127" i="7"/>
  <c r="AH127" i="7" s="1"/>
  <c r="AV89" i="7"/>
  <c r="AV69" i="7"/>
  <c r="AV17" i="7"/>
  <c r="AI87" i="7"/>
  <c r="AJ87" i="7" s="1"/>
  <c r="AV135" i="7"/>
  <c r="AE152" i="7"/>
  <c r="AY181" i="7"/>
  <c r="BB181" i="7"/>
  <c r="BG181" i="7"/>
  <c r="AF114" i="7"/>
  <c r="AH114" i="7" s="1"/>
  <c r="AI114" i="7" s="1"/>
  <c r="AJ114" i="7" s="1"/>
  <c r="AV72" i="7"/>
  <c r="AE83" i="7"/>
  <c r="AV45" i="7"/>
  <c r="AV112" i="7"/>
  <c r="AV76" i="7"/>
  <c r="AF55" i="7"/>
  <c r="AH55" i="7" s="1"/>
  <c r="AI55" i="7" s="1"/>
  <c r="AJ55" i="7" s="1"/>
  <c r="AV39" i="7"/>
  <c r="AF47" i="7"/>
  <c r="AH47" i="7" s="1"/>
  <c r="AI47" i="7" s="1"/>
  <c r="AJ47" i="7" s="1"/>
  <c r="AV58" i="7"/>
  <c r="AV21" i="7"/>
  <c r="AG30" i="7"/>
  <c r="AF129" i="7"/>
  <c r="AH129" i="7" s="1"/>
  <c r="AI129" i="7" s="1"/>
  <c r="AJ129" i="7" s="1"/>
  <c r="AG66" i="7"/>
  <c r="AV36" i="7"/>
  <c r="AV77" i="7"/>
  <c r="AI108" i="7"/>
  <c r="AE108" i="7"/>
  <c r="AI68" i="7"/>
  <c r="AJ68" i="7" s="1"/>
  <c r="AE68" i="7"/>
  <c r="AF46" i="7"/>
  <c r="AH46" i="7" s="1"/>
  <c r="AG18" i="7"/>
  <c r="AK18" i="7" s="1"/>
  <c r="AG177" i="7"/>
  <c r="AE92" i="7"/>
  <c r="AE136" i="7"/>
  <c r="AV88" i="7"/>
  <c r="AG29" i="7"/>
  <c r="AK29" i="7" s="1"/>
  <c r="AG150" i="7"/>
  <c r="AV168" i="7"/>
  <c r="AW171" i="7"/>
  <c r="AF148" i="7"/>
  <c r="AH148" i="7" s="1"/>
  <c r="AI148" i="7" s="1"/>
  <c r="AJ148" i="7" s="1"/>
  <c r="AY142" i="7"/>
  <c r="BG142" i="7"/>
  <c r="AV111" i="7"/>
  <c r="AG165" i="7"/>
  <c r="AV96" i="7"/>
  <c r="AF60" i="7"/>
  <c r="AH60" i="7" s="1"/>
  <c r="AI60" i="7" s="1"/>
  <c r="AJ60" i="7" s="1"/>
  <c r="AG58" i="7"/>
  <c r="AF144" i="7"/>
  <c r="AH144" i="7" s="1"/>
  <c r="AF175" i="7"/>
  <c r="AH175" i="7" s="1"/>
  <c r="AI175" i="7" s="1"/>
  <c r="AJ175" i="7" s="1"/>
  <c r="AF176" i="7"/>
  <c r="AH176" i="7" s="1"/>
  <c r="AI116" i="7"/>
  <c r="AJ116" i="7" s="1"/>
  <c r="AE116" i="7"/>
  <c r="AI51" i="7"/>
  <c r="AJ51" i="7" s="1"/>
  <c r="AE51" i="7"/>
  <c r="AD181" i="7"/>
  <c r="AI173" i="7"/>
  <c r="AE173" i="7"/>
  <c r="AI124" i="7"/>
  <c r="AE124" i="7"/>
  <c r="AF113" i="7"/>
  <c r="AH113" i="7" s="1"/>
  <c r="BA181" i="7"/>
  <c r="AI121" i="7"/>
  <c r="AJ121" i="7" s="1"/>
  <c r="AE121" i="7"/>
  <c r="AI75" i="7"/>
  <c r="AJ75" i="7" s="1"/>
  <c r="AE75" i="7"/>
  <c r="AV90" i="7"/>
  <c r="AE50" i="7"/>
  <c r="AE13" i="7"/>
  <c r="AE105" i="7"/>
  <c r="AE168" i="7"/>
  <c r="AE104" i="7"/>
  <c r="AF69" i="7"/>
  <c r="AH69" i="7" s="1"/>
  <c r="BA142" i="7"/>
  <c r="BC142" i="7"/>
  <c r="BF193" i="7"/>
  <c r="AI135" i="7"/>
  <c r="AJ135" i="7" s="1"/>
  <c r="AE135" i="7"/>
  <c r="AI155" i="7"/>
  <c r="AJ155" i="7" s="1"/>
  <c r="AE155" i="7"/>
  <c r="AF156" i="7"/>
  <c r="AH156" i="7" s="1"/>
  <c r="AI156" i="7" s="1"/>
  <c r="AJ156" i="7" s="1"/>
  <c r="AV23" i="7"/>
  <c r="AI97" i="7"/>
  <c r="AJ97" i="7" s="1"/>
  <c r="AE97" i="7"/>
  <c r="AV116" i="7"/>
  <c r="AV78" i="7"/>
  <c r="AE100" i="7"/>
  <c r="AF96" i="7"/>
  <c r="AH96" i="7" s="1"/>
  <c r="AI96" i="7" s="1"/>
  <c r="AJ96" i="7" s="1"/>
  <c r="AV124" i="7"/>
  <c r="AV40" i="7"/>
  <c r="BA162" i="7"/>
  <c r="BG162" i="7"/>
  <c r="AI127" i="7"/>
  <c r="AJ127" i="7" s="1"/>
  <c r="AE127" i="7"/>
  <c r="AE23" i="7"/>
  <c r="AV46" i="7"/>
  <c r="AG169" i="7"/>
  <c r="AV175" i="7"/>
  <c r="AW181" i="7"/>
  <c r="BF181" i="7"/>
  <c r="AV70" i="7"/>
  <c r="AV63" i="7"/>
  <c r="AV41" i="7"/>
  <c r="AF105" i="7"/>
  <c r="AH105" i="7" s="1"/>
  <c r="AI105" i="7" s="1"/>
  <c r="AJ105" i="7" s="1"/>
  <c r="AV64" i="7"/>
  <c r="AF168" i="7"/>
  <c r="AH168" i="7" s="1"/>
  <c r="AI168" i="7" s="1"/>
  <c r="AJ168" i="7" s="1"/>
  <c r="AV176" i="7"/>
  <c r="AF104" i="7"/>
  <c r="AH104" i="7" s="1"/>
  <c r="AI104" i="7" s="1"/>
  <c r="AJ104" i="7" s="1"/>
  <c r="AI69" i="7"/>
  <c r="AJ69" i="7" s="1"/>
  <c r="AE69" i="7"/>
  <c r="BB142" i="7"/>
  <c r="BE142" i="7"/>
  <c r="AV156" i="7"/>
  <c r="AE60" i="7"/>
  <c r="AH193" i="7"/>
  <c r="AW193" i="7"/>
  <c r="AE151" i="7"/>
  <c r="AE179" i="7"/>
  <c r="AE175" i="7"/>
  <c r="AE176" i="7"/>
  <c r="AF134" i="7"/>
  <c r="AH134" i="7" s="1"/>
  <c r="AI134" i="7" s="1"/>
  <c r="AG128" i="7"/>
  <c r="AV113" i="7"/>
  <c r="AI111" i="7"/>
  <c r="AJ111" i="7" s="1"/>
  <c r="AG73" i="7"/>
  <c r="AK73" i="7" s="1"/>
  <c r="AV66" i="7"/>
  <c r="AE57" i="7"/>
  <c r="AV67" i="7"/>
  <c r="AI32" i="7"/>
  <c r="AJ32" i="7" s="1"/>
  <c r="AE32" i="7"/>
  <c r="AC181" i="7"/>
  <c r="AG166" i="7"/>
  <c r="AG54" i="7"/>
  <c r="AV83" i="7"/>
  <c r="AE74" i="7"/>
  <c r="AV50" i="7"/>
  <c r="AV54" i="7"/>
  <c r="BF162" i="7"/>
  <c r="AY162" i="7"/>
  <c r="BH162" i="7"/>
  <c r="AG70" i="7"/>
  <c r="AG71" i="7"/>
  <c r="AK71" i="7" s="1"/>
  <c r="AG173" i="7"/>
  <c r="AI113" i="7"/>
  <c r="AJ113" i="7" s="1"/>
  <c r="AE113" i="7"/>
  <c r="AG81" i="7"/>
  <c r="AK81" i="7" s="1"/>
  <c r="AV120" i="7"/>
  <c r="AG41" i="7"/>
  <c r="AK41" i="7" s="1"/>
  <c r="AV56" i="7"/>
  <c r="AC142" i="7"/>
  <c r="AV179" i="7"/>
  <c r="AF152" i="7"/>
  <c r="AH152" i="7" s="1"/>
  <c r="AI152" i="7" s="1"/>
  <c r="AJ152" i="7" s="1"/>
  <c r="AZ181" i="7"/>
  <c r="BC181" i="7"/>
  <c r="AE114" i="7"/>
  <c r="AV87" i="7"/>
  <c r="AF36" i="7"/>
  <c r="AH36" i="7" s="1"/>
  <c r="AI36" i="7" s="1"/>
  <c r="AJ36" i="7" s="1"/>
  <c r="AG65" i="7"/>
  <c r="AK65" i="7" s="1"/>
  <c r="AE62" i="7"/>
  <c r="AI35" i="7"/>
  <c r="AJ35" i="7" s="1"/>
  <c r="AV79" i="7"/>
  <c r="AV53" i="7"/>
  <c r="AF50" i="7"/>
  <c r="AH50" i="7" s="1"/>
  <c r="AI50" i="7" s="1"/>
  <c r="AJ50" i="7" s="1"/>
  <c r="AF28" i="7"/>
  <c r="AH28" i="7" s="1"/>
  <c r="AI28" i="7" s="1"/>
  <c r="AJ28" i="7" s="1"/>
  <c r="AG32" i="7"/>
  <c r="AV19" i="7"/>
  <c r="AV136" i="7"/>
  <c r="AE129" i="7"/>
  <c r="AV108" i="7"/>
  <c r="AI46" i="7"/>
  <c r="AJ46" i="7" s="1"/>
  <c r="AE46" i="7"/>
  <c r="AG149" i="7"/>
  <c r="AK149" i="7" s="1"/>
  <c r="AF92" i="7"/>
  <c r="AH92" i="7" s="1"/>
  <c r="AI92" i="7" s="1"/>
  <c r="AJ92" i="7" s="1"/>
  <c r="AF136" i="7"/>
  <c r="AH136" i="7" s="1"/>
  <c r="AI136" i="7" s="1"/>
  <c r="AJ136" i="7" s="1"/>
  <c r="AV93" i="7"/>
  <c r="AG74" i="7"/>
  <c r="AI33" i="7"/>
  <c r="AJ33" i="7" s="1"/>
  <c r="AI37" i="7"/>
  <c r="AG22" i="7"/>
  <c r="AK22" i="7" s="1"/>
  <c r="AV99" i="7"/>
  <c r="AE148" i="7"/>
  <c r="AG120" i="7"/>
  <c r="AF20" i="7"/>
  <c r="AH20" i="7" s="1"/>
  <c r="AI20" i="7" s="1"/>
  <c r="AJ20" i="7" s="1"/>
  <c r="AV28" i="7"/>
  <c r="AV13" i="7"/>
  <c r="AW142" i="7"/>
  <c r="AZ142" i="7"/>
  <c r="BD142" i="7"/>
  <c r="AV24" i="7"/>
  <c r="AG103" i="7"/>
  <c r="AK103" i="7" s="1"/>
  <c r="AI165" i="7"/>
  <c r="AV20" i="7"/>
  <c r="AV35" i="7"/>
  <c r="AG42" i="7"/>
  <c r="AJ187" i="7"/>
  <c r="AJ193" i="7" s="1"/>
  <c r="AI193" i="7"/>
  <c r="AV189" i="7"/>
  <c r="AC214" i="7" l="1"/>
  <c r="AD214" i="7"/>
  <c r="L15" i="9"/>
  <c r="L9" i="9" s="1"/>
  <c r="L11" i="9" s="1"/>
  <c r="AL189" i="7"/>
  <c r="AL82" i="7"/>
  <c r="AG167" i="7"/>
  <c r="AN101" i="7"/>
  <c r="AO101" i="7" s="1"/>
  <c r="AN57" i="7"/>
  <c r="AO57" i="7" s="1"/>
  <c r="AM193" i="7"/>
  <c r="AL149" i="7"/>
  <c r="AM149" i="7"/>
  <c r="AN149" i="7" s="1"/>
  <c r="AO149" i="7" s="1"/>
  <c r="AJ134" i="7"/>
  <c r="AK150" i="7"/>
  <c r="AM150" i="7" s="1"/>
  <c r="AN150" i="7" s="1"/>
  <c r="AO150" i="7" s="1"/>
  <c r="AK30" i="7"/>
  <c r="AM30" i="7" s="1"/>
  <c r="AK167" i="7"/>
  <c r="AM167" i="7" s="1"/>
  <c r="AN167" i="7" s="1"/>
  <c r="AO167" i="7" s="1"/>
  <c r="AK154" i="7"/>
  <c r="AM154" i="7" s="1"/>
  <c r="AN154" i="7" s="1"/>
  <c r="AO154" i="7" s="1"/>
  <c r="AK158" i="7"/>
  <c r="AM158" i="7" s="1"/>
  <c r="AN158" i="7" s="1"/>
  <c r="AO158" i="7" s="1"/>
  <c r="AM12" i="7"/>
  <c r="AK160" i="7"/>
  <c r="AM160" i="7" s="1"/>
  <c r="AN160" i="7" s="1"/>
  <c r="AO160" i="7" s="1"/>
  <c r="AL63" i="7"/>
  <c r="AM63" i="7"/>
  <c r="AN63" i="7" s="1"/>
  <c r="AO63" i="7" s="1"/>
  <c r="AK64" i="7"/>
  <c r="AM64" i="7" s="1"/>
  <c r="AN64" i="7" s="1"/>
  <c r="AO64" i="7" s="1"/>
  <c r="AL79" i="7"/>
  <c r="AM79" i="7"/>
  <c r="AN79" i="7" s="1"/>
  <c r="AO79" i="7" s="1"/>
  <c r="AK138" i="7"/>
  <c r="AM138" i="7" s="1"/>
  <c r="AN138" i="7" s="1"/>
  <c r="AO138" i="7" s="1"/>
  <c r="AL95" i="7"/>
  <c r="AM95" i="7"/>
  <c r="AN95" i="7" s="1"/>
  <c r="AO95" i="7" s="1"/>
  <c r="AK118" i="7"/>
  <c r="AM118" i="7" s="1"/>
  <c r="AN118" i="7" s="1"/>
  <c r="AO118" i="7" s="1"/>
  <c r="AL72" i="7"/>
  <c r="AK72" i="7"/>
  <c r="AM72" i="7" s="1"/>
  <c r="AN72" i="7" s="1"/>
  <c r="AO72" i="7" s="1"/>
  <c r="AL91" i="7"/>
  <c r="AM91" i="7"/>
  <c r="AN91" i="7" s="1"/>
  <c r="AO91" i="7" s="1"/>
  <c r="AL80" i="7"/>
  <c r="AK80" i="7"/>
  <c r="AM80" i="7" s="1"/>
  <c r="AN80" i="7" s="1"/>
  <c r="AO80" i="7" s="1"/>
  <c r="AK40" i="7"/>
  <c r="AM40" i="7" s="1"/>
  <c r="AN40" i="7" s="1"/>
  <c r="AO40" i="7" s="1"/>
  <c r="AJ30" i="7"/>
  <c r="AN30" i="7"/>
  <c r="AO30" i="7" s="1"/>
  <c r="AL87" i="7"/>
  <c r="AM87" i="7"/>
  <c r="AN87" i="7" s="1"/>
  <c r="AO87" i="7" s="1"/>
  <c r="AK26" i="7"/>
  <c r="AM26" i="7" s="1"/>
  <c r="AN26" i="7" s="1"/>
  <c r="AO26" i="7" s="1"/>
  <c r="AL26" i="7"/>
  <c r="AL22" i="7"/>
  <c r="AM22" i="7"/>
  <c r="AN22" i="7" s="1"/>
  <c r="AO22" i="7" s="1"/>
  <c r="AL41" i="7"/>
  <c r="AM41" i="7"/>
  <c r="AN41" i="7" s="1"/>
  <c r="AO41" i="7" s="1"/>
  <c r="Q15" i="9"/>
  <c r="AK166" i="7"/>
  <c r="AM166" i="7" s="1"/>
  <c r="AN166" i="7" s="1"/>
  <c r="AO166" i="7" s="1"/>
  <c r="AK169" i="7"/>
  <c r="AM169" i="7" s="1"/>
  <c r="AN169" i="7" s="1"/>
  <c r="AO169" i="7" s="1"/>
  <c r="AK165" i="7"/>
  <c r="AM165" i="7" s="1"/>
  <c r="AN165" i="7" s="1"/>
  <c r="AO165" i="7" s="1"/>
  <c r="AL29" i="7"/>
  <c r="AM29" i="7"/>
  <c r="AN29" i="7" s="1"/>
  <c r="AO29" i="7" s="1"/>
  <c r="AK177" i="7"/>
  <c r="AM177" i="7" s="1"/>
  <c r="AN177" i="7" s="1"/>
  <c r="AO177" i="7" s="1"/>
  <c r="AL59" i="7"/>
  <c r="AM59" i="7"/>
  <c r="AN59" i="7" s="1"/>
  <c r="AO59" i="7" s="1"/>
  <c r="AK34" i="7"/>
  <c r="AM34" i="7" s="1"/>
  <c r="AL34" i="7"/>
  <c r="I15" i="9"/>
  <c r="AL19" i="7"/>
  <c r="AK19" i="7"/>
  <c r="AM19" i="7" s="1"/>
  <c r="AN19" i="7" s="1"/>
  <c r="AO19" i="7" s="1"/>
  <c r="AK88" i="7"/>
  <c r="AM88" i="7" s="1"/>
  <c r="AN88" i="7" s="1"/>
  <c r="AO88" i="7" s="1"/>
  <c r="AL145" i="7"/>
  <c r="AM145" i="7"/>
  <c r="AN145" i="7" s="1"/>
  <c r="AO145" i="7" s="1"/>
  <c r="AK140" i="7"/>
  <c r="AM140" i="7" s="1"/>
  <c r="AN140" i="7" s="1"/>
  <c r="AO140" i="7" s="1"/>
  <c r="AL75" i="7"/>
  <c r="AM75" i="7"/>
  <c r="AN75" i="7" s="1"/>
  <c r="AO75" i="7" s="1"/>
  <c r="AK115" i="7"/>
  <c r="AM115" i="7" s="1"/>
  <c r="AN115" i="7" s="1"/>
  <c r="AO115" i="7" s="1"/>
  <c r="AL178" i="7"/>
  <c r="AK178" i="7"/>
  <c r="AM178" i="7" s="1"/>
  <c r="AN178" i="7" s="1"/>
  <c r="AO178" i="7" s="1"/>
  <c r="AJ34" i="7"/>
  <c r="AN34" i="7"/>
  <c r="AO34" i="7" s="1"/>
  <c r="AL48" i="7"/>
  <c r="AK48" i="7"/>
  <c r="AM48" i="7" s="1"/>
  <c r="AN48" i="7" s="1"/>
  <c r="AO48" i="7" s="1"/>
  <c r="AL147" i="7"/>
  <c r="AM147" i="7"/>
  <c r="AN147" i="7" s="1"/>
  <c r="AO147" i="7" s="1"/>
  <c r="AJ13" i="7"/>
  <c r="AN13" i="7"/>
  <c r="AO13" i="7" s="1"/>
  <c r="AN62" i="7"/>
  <c r="AO62" i="7" s="1"/>
  <c r="AL112" i="7"/>
  <c r="AN111" i="7"/>
  <c r="AO111" i="7" s="1"/>
  <c r="AL174" i="7"/>
  <c r="AM174" i="7"/>
  <c r="AN174" i="7" s="1"/>
  <c r="AO174" i="7" s="1"/>
  <c r="AN185" i="7"/>
  <c r="AK58" i="7"/>
  <c r="AM58" i="7" s="1"/>
  <c r="AN58" i="7" s="1"/>
  <c r="AO58" i="7" s="1"/>
  <c r="AL18" i="7"/>
  <c r="AM18" i="7"/>
  <c r="AN18" i="7" s="1"/>
  <c r="AO18" i="7" s="1"/>
  <c r="AK66" i="7"/>
  <c r="AM66" i="7" s="1"/>
  <c r="AN66" i="7" s="1"/>
  <c r="AO66" i="7" s="1"/>
  <c r="G15" i="9"/>
  <c r="AJ76" i="7"/>
  <c r="AN76" i="7"/>
  <c r="AO76" i="7" s="1"/>
  <c r="AN12" i="7"/>
  <c r="AS12" i="7" s="1"/>
  <c r="AJ12" i="7"/>
  <c r="AL164" i="7"/>
  <c r="AM164" i="7"/>
  <c r="AK159" i="7"/>
  <c r="AM159" i="7" s="1"/>
  <c r="AN159" i="7" s="1"/>
  <c r="AO159" i="7" s="1"/>
  <c r="AL153" i="7"/>
  <c r="AM153" i="7"/>
  <c r="AN153" i="7" s="1"/>
  <c r="AO153" i="7" s="1"/>
  <c r="AL67" i="7"/>
  <c r="AM67" i="7"/>
  <c r="AN67" i="7" s="1"/>
  <c r="AO67" i="7" s="1"/>
  <c r="AK122" i="7"/>
  <c r="AM122" i="7" s="1"/>
  <c r="AN122" i="7" s="1"/>
  <c r="AO122" i="7" s="1"/>
  <c r="AK146" i="7"/>
  <c r="AM146" i="7" s="1"/>
  <c r="AN146" i="7" s="1"/>
  <c r="AO146" i="7" s="1"/>
  <c r="AL146" i="7"/>
  <c r="AK25" i="7"/>
  <c r="AM25" i="7" s="1"/>
  <c r="AN25" i="7" s="1"/>
  <c r="AO25" i="7" s="1"/>
  <c r="AL33" i="7"/>
  <c r="AM33" i="7"/>
  <c r="AN33" i="7" s="1"/>
  <c r="AO33" i="7" s="1"/>
  <c r="AK52" i="7"/>
  <c r="AM52" i="7" s="1"/>
  <c r="AN52" i="7" s="1"/>
  <c r="AO52" i="7" s="1"/>
  <c r="AK110" i="7"/>
  <c r="AM110" i="7" s="1"/>
  <c r="AN110" i="7" s="1"/>
  <c r="AO110" i="7" s="1"/>
  <c r="AL110" i="7"/>
  <c r="AN97" i="7"/>
  <c r="AO97" i="7" s="1"/>
  <c r="AL93" i="7"/>
  <c r="AM93" i="7"/>
  <c r="AN93" i="7" s="1"/>
  <c r="AO93" i="7" s="1"/>
  <c r="AN35" i="7"/>
  <c r="AO35" i="7" s="1"/>
  <c r="AN14" i="7"/>
  <c r="AO14" i="7" s="1"/>
  <c r="AK74" i="7"/>
  <c r="AM74" i="7" s="1"/>
  <c r="AN74" i="7" s="1"/>
  <c r="AO74" i="7" s="1"/>
  <c r="AK70" i="7"/>
  <c r="AM70" i="7" s="1"/>
  <c r="AN70" i="7" s="1"/>
  <c r="AO70" i="7" s="1"/>
  <c r="AK54" i="7"/>
  <c r="AM54" i="7" s="1"/>
  <c r="AN54" i="7" s="1"/>
  <c r="AO54" i="7" s="1"/>
  <c r="AL73" i="7"/>
  <c r="AM73" i="7"/>
  <c r="AN73" i="7" s="1"/>
  <c r="AO73" i="7" s="1"/>
  <c r="AK42" i="7"/>
  <c r="AM42" i="7" s="1"/>
  <c r="AN42" i="7" s="1"/>
  <c r="AO42" i="7" s="1"/>
  <c r="AL103" i="7"/>
  <c r="AM103" i="7"/>
  <c r="AN103" i="7" s="1"/>
  <c r="AO103" i="7" s="1"/>
  <c r="AL120" i="7"/>
  <c r="AK120" i="7"/>
  <c r="AM120" i="7" s="1"/>
  <c r="AN120" i="7" s="1"/>
  <c r="AO120" i="7" s="1"/>
  <c r="AJ37" i="7"/>
  <c r="AN37" i="7"/>
  <c r="AO37" i="7" s="1"/>
  <c r="AL65" i="7"/>
  <c r="AM65" i="7"/>
  <c r="AN65" i="7" s="1"/>
  <c r="AO65" i="7" s="1"/>
  <c r="AK173" i="7"/>
  <c r="AM173" i="7" s="1"/>
  <c r="AN173" i="7" s="1"/>
  <c r="H15" i="9"/>
  <c r="AV193" i="7"/>
  <c r="AK32" i="7"/>
  <c r="AM32" i="7" s="1"/>
  <c r="AN32" i="7" s="1"/>
  <c r="AO32" i="7" s="1"/>
  <c r="AL81" i="7"/>
  <c r="AM81" i="7"/>
  <c r="AN81" i="7" s="1"/>
  <c r="AO81" i="7" s="1"/>
  <c r="AL71" i="7"/>
  <c r="AM71" i="7"/>
  <c r="AN71" i="7" s="1"/>
  <c r="AO71" i="7" s="1"/>
  <c r="O15" i="9"/>
  <c r="AK128" i="7"/>
  <c r="AM128" i="7" s="1"/>
  <c r="AN128" i="7" s="1"/>
  <c r="AO128" i="7" s="1"/>
  <c r="J15" i="9"/>
  <c r="AJ124" i="7"/>
  <c r="AN124" i="7"/>
  <c r="AO124" i="7" s="1"/>
  <c r="AH181" i="7"/>
  <c r="AJ108" i="7"/>
  <c r="AN108" i="7"/>
  <c r="AO108" i="7" s="1"/>
  <c r="AG114" i="7"/>
  <c r="M15" i="9"/>
  <c r="N15" i="9"/>
  <c r="AL83" i="7"/>
  <c r="AM83" i="7"/>
  <c r="AN83" i="7" s="1"/>
  <c r="AO83" i="7" s="1"/>
  <c r="AK16" i="7"/>
  <c r="AM16" i="7" s="1"/>
  <c r="AN16" i="7" s="1"/>
  <c r="AO16" i="7" s="1"/>
  <c r="AK56" i="7"/>
  <c r="AM56" i="7" s="1"/>
  <c r="AN56" i="7" s="1"/>
  <c r="AO56" i="7" s="1"/>
  <c r="AL106" i="7"/>
  <c r="AK106" i="7"/>
  <c r="AM106" i="7" s="1"/>
  <c r="AN106" i="7" s="1"/>
  <c r="AO106" i="7" s="1"/>
  <c r="AK84" i="7"/>
  <c r="AM84" i="7" s="1"/>
  <c r="AN84" i="7" s="1"/>
  <c r="AO84" i="7" s="1"/>
  <c r="AL44" i="7"/>
  <c r="AK44" i="7"/>
  <c r="AM44" i="7" s="1"/>
  <c r="AN44" i="7" s="1"/>
  <c r="AO44" i="7" s="1"/>
  <c r="AK17" i="7"/>
  <c r="AM17" i="7" s="1"/>
  <c r="AN17" i="7" s="1"/>
  <c r="AO17" i="7" s="1"/>
  <c r="AL139" i="7"/>
  <c r="AK139" i="7"/>
  <c r="AM139" i="7" s="1"/>
  <c r="AN139" i="7" s="1"/>
  <c r="AO139" i="7" s="1"/>
  <c r="AK24" i="7"/>
  <c r="AM24" i="7" s="1"/>
  <c r="AN24" i="7" s="1"/>
  <c r="AO24" i="7" s="1"/>
  <c r="AK137" i="7"/>
  <c r="AM137" i="7" s="1"/>
  <c r="AN137" i="7" s="1"/>
  <c r="AO137" i="7" s="1"/>
  <c r="AN68" i="7"/>
  <c r="AO68" i="7" s="1"/>
  <c r="AN116" i="7"/>
  <c r="AO116" i="7" s="1"/>
  <c r="AL53" i="7"/>
  <c r="AM53" i="7"/>
  <c r="AN53" i="7" s="1"/>
  <c r="AO53" i="7" s="1"/>
  <c r="AG131" i="7"/>
  <c r="AL185" i="7"/>
  <c r="AK94" i="7"/>
  <c r="AM94" i="7" s="1"/>
  <c r="AN94" i="7" s="1"/>
  <c r="AO94" i="7" s="1"/>
  <c r="AK123" i="7"/>
  <c r="AM123" i="7" s="1"/>
  <c r="AN123" i="7" s="1"/>
  <c r="AO123" i="7" s="1"/>
  <c r="AR74" i="4"/>
  <c r="AS29" i="4"/>
  <c r="AS74" i="4" s="1"/>
  <c r="BA50" i="4"/>
  <c r="F13" i="9" s="1"/>
  <c r="BC50" i="4"/>
  <c r="H13" i="9" s="1"/>
  <c r="E12" i="9"/>
  <c r="AL42" i="5"/>
  <c r="AH42" i="5"/>
  <c r="AH55" i="5" s="1"/>
  <c r="AG55" i="5"/>
  <c r="AY55" i="5"/>
  <c r="AN62" i="4"/>
  <c r="E26" i="9"/>
  <c r="E28" i="9" s="1"/>
  <c r="AD69" i="4"/>
  <c r="AR62" i="4"/>
  <c r="AS56" i="4"/>
  <c r="AS62" i="4" s="1"/>
  <c r="AN22" i="4"/>
  <c r="AR22" i="4"/>
  <c r="AS22" i="4" s="1"/>
  <c r="AQ64" i="4"/>
  <c r="AN23" i="4"/>
  <c r="AR23" i="4"/>
  <c r="AS23" i="4" s="1"/>
  <c r="F15" i="9"/>
  <c r="AG69" i="7"/>
  <c r="AK69" i="7" s="1"/>
  <c r="AG175" i="7"/>
  <c r="AG60" i="7"/>
  <c r="AG155" i="7"/>
  <c r="AG151" i="7"/>
  <c r="AK151" i="7" s="1"/>
  <c r="AV171" i="7"/>
  <c r="AG132" i="7"/>
  <c r="AI176" i="7"/>
  <c r="AJ176" i="7" s="1"/>
  <c r="AG168" i="7"/>
  <c r="AK168" i="7" s="1"/>
  <c r="AG121" i="7"/>
  <c r="K15" i="9"/>
  <c r="AG136" i="7"/>
  <c r="AG50" i="7"/>
  <c r="AG104" i="7"/>
  <c r="AG148" i="7"/>
  <c r="AG46" i="7"/>
  <c r="AG96" i="7"/>
  <c r="P15" i="9"/>
  <c r="AL75" i="4"/>
  <c r="BB64" i="4"/>
  <c r="G13" i="9"/>
  <c r="M13" i="9"/>
  <c r="BH64" i="4"/>
  <c r="BK64" i="4"/>
  <c r="P13" i="9"/>
  <c r="K13" i="9"/>
  <c r="BF64" i="4"/>
  <c r="BJ64" i="4"/>
  <c r="O13" i="9"/>
  <c r="BL64" i="4"/>
  <c r="Q13" i="9"/>
  <c r="I13" i="9"/>
  <c r="BD64" i="4"/>
  <c r="AI20" i="4"/>
  <c r="AI35" i="4" s="1"/>
  <c r="AI64" i="4" s="1"/>
  <c r="AM20" i="4"/>
  <c r="AR20" i="4" s="1"/>
  <c r="AH35" i="4"/>
  <c r="AH64" i="4" s="1"/>
  <c r="N13" i="9"/>
  <c r="BI64" i="4"/>
  <c r="BE64" i="4"/>
  <c r="J13" i="9"/>
  <c r="AZ35" i="4"/>
  <c r="AV142" i="7"/>
  <c r="AJ173" i="7"/>
  <c r="AJ181" i="7" s="1"/>
  <c r="AI181" i="7"/>
  <c r="AH171" i="7"/>
  <c r="AG20" i="7"/>
  <c r="AG28" i="7"/>
  <c r="AG152" i="7"/>
  <c r="AG134" i="7"/>
  <c r="AV181" i="7"/>
  <c r="AG156" i="7"/>
  <c r="AG113" i="7"/>
  <c r="AG176" i="7"/>
  <c r="AG144" i="7"/>
  <c r="AG129" i="7"/>
  <c r="AG55" i="7"/>
  <c r="AK55" i="7" s="1"/>
  <c r="AV162" i="7"/>
  <c r="AI142" i="7"/>
  <c r="AI214" i="7" s="1"/>
  <c r="AJ142" i="7"/>
  <c r="AH142" i="7"/>
  <c r="AH214" i="7" s="1"/>
  <c r="AJ165" i="7"/>
  <c r="AJ171" i="7" s="1"/>
  <c r="AI171" i="7"/>
  <c r="AG92" i="7"/>
  <c r="AG36" i="7"/>
  <c r="AG105" i="7"/>
  <c r="AE181" i="7"/>
  <c r="AH162" i="7"/>
  <c r="AG47" i="7"/>
  <c r="AK47" i="7" s="1"/>
  <c r="AG179" i="7"/>
  <c r="AI144" i="7"/>
  <c r="AJ144" i="7" s="1"/>
  <c r="AD162" i="7"/>
  <c r="AE144" i="7"/>
  <c r="AE162" i="7" s="1"/>
  <c r="AG127" i="7"/>
  <c r="AK127" i="7" s="1"/>
  <c r="AG100" i="7"/>
  <c r="AG135" i="7"/>
  <c r="AG89" i="7"/>
  <c r="AK89" i="7" s="1"/>
  <c r="AE171" i="7"/>
  <c r="AG51" i="7"/>
  <c r="AK51" i="7" s="1"/>
  <c r="AG77" i="7"/>
  <c r="AK77" i="7" s="1"/>
  <c r="AE142" i="7"/>
  <c r="AT12" i="7" l="1"/>
  <c r="AT142" i="7" s="1"/>
  <c r="AS142" i="7"/>
  <c r="AS214" i="7" s="1"/>
  <c r="AE214" i="7"/>
  <c r="AJ214" i="7"/>
  <c r="AL140" i="7"/>
  <c r="AL88" i="7"/>
  <c r="AL169" i="7"/>
  <c r="AL138" i="7"/>
  <c r="AL64" i="7"/>
  <c r="AL160" i="7"/>
  <c r="AL25" i="7"/>
  <c r="AL122" i="7"/>
  <c r="J17" i="9"/>
  <c r="I17" i="9"/>
  <c r="F17" i="9"/>
  <c r="AO173" i="7"/>
  <c r="AL89" i="7"/>
  <c r="AM89" i="7"/>
  <c r="AN89" i="7" s="1"/>
  <c r="AO89" i="7" s="1"/>
  <c r="AK113" i="7"/>
  <c r="AM113" i="7" s="1"/>
  <c r="AN113" i="7" s="1"/>
  <c r="AO113" i="7" s="1"/>
  <c r="AL127" i="7"/>
  <c r="AM127" i="7"/>
  <c r="AK179" i="7"/>
  <c r="AM179" i="7" s="1"/>
  <c r="AN179" i="7" s="1"/>
  <c r="AO179" i="7" s="1"/>
  <c r="AL105" i="7"/>
  <c r="AK105" i="7"/>
  <c r="AM105" i="7" s="1"/>
  <c r="AN105" i="7" s="1"/>
  <c r="AO105" i="7" s="1"/>
  <c r="AK129" i="7"/>
  <c r="AM129" i="7" s="1"/>
  <c r="AN129" i="7" s="1"/>
  <c r="AO129" i="7" s="1"/>
  <c r="AL156" i="7"/>
  <c r="AK156" i="7"/>
  <c r="AM156" i="7" s="1"/>
  <c r="AN156" i="7" s="1"/>
  <c r="AO156" i="7" s="1"/>
  <c r="AK28" i="7"/>
  <c r="AM28" i="7" s="1"/>
  <c r="AN28" i="7" s="1"/>
  <c r="AO28" i="7" s="1"/>
  <c r="AL96" i="7"/>
  <c r="AK96" i="7"/>
  <c r="AM96" i="7" s="1"/>
  <c r="AN96" i="7" s="1"/>
  <c r="AO96" i="7" s="1"/>
  <c r="AK46" i="7"/>
  <c r="AM46" i="7" s="1"/>
  <c r="AN46" i="7" s="1"/>
  <c r="AO46" i="7" s="1"/>
  <c r="AK50" i="7"/>
  <c r="AM50" i="7" s="1"/>
  <c r="AN50" i="7" s="1"/>
  <c r="AO50" i="7" s="1"/>
  <c r="AK121" i="7"/>
  <c r="AM121" i="7" s="1"/>
  <c r="AN121" i="7" s="1"/>
  <c r="AO121" i="7" s="1"/>
  <c r="AK60" i="7"/>
  <c r="AM60" i="7" s="1"/>
  <c r="AN60" i="7" s="1"/>
  <c r="AO60" i="7" s="1"/>
  <c r="AL123" i="7"/>
  <c r="AL24" i="7"/>
  <c r="AL17" i="7"/>
  <c r="AL84" i="7"/>
  <c r="AL56" i="7"/>
  <c r="AK114" i="7"/>
  <c r="AM114" i="7" s="1"/>
  <c r="AN114" i="7" s="1"/>
  <c r="AO114" i="7" s="1"/>
  <c r="AL128" i="7"/>
  <c r="AL42" i="7"/>
  <c r="AL54" i="7"/>
  <c r="AL74" i="7"/>
  <c r="AL159" i="7"/>
  <c r="AO12" i="7"/>
  <c r="AL66" i="7"/>
  <c r="AL58" i="7"/>
  <c r="AL177" i="7"/>
  <c r="AL165" i="7"/>
  <c r="AL166" i="7"/>
  <c r="AL154" i="7"/>
  <c r="AL30" i="7"/>
  <c r="AL144" i="7"/>
  <c r="AK144" i="7"/>
  <c r="AM144" i="7" s="1"/>
  <c r="AK20" i="7"/>
  <c r="AM20" i="7" s="1"/>
  <c r="AN20" i="7" s="1"/>
  <c r="AO20" i="7" s="1"/>
  <c r="AK148" i="7"/>
  <c r="AM148" i="7" s="1"/>
  <c r="AN148" i="7" s="1"/>
  <c r="AO148" i="7" s="1"/>
  <c r="AL168" i="7"/>
  <c r="AM168" i="7"/>
  <c r="AN168" i="7" s="1"/>
  <c r="AO168" i="7" s="1"/>
  <c r="AK175" i="7"/>
  <c r="AM175" i="7" s="1"/>
  <c r="AN175" i="7" s="1"/>
  <c r="AO175" i="7" s="1"/>
  <c r="AL131" i="7"/>
  <c r="AK131" i="7"/>
  <c r="AM131" i="7" s="1"/>
  <c r="AN131" i="7" s="1"/>
  <c r="AO131" i="7" s="1"/>
  <c r="AN164" i="7"/>
  <c r="AM171" i="7"/>
  <c r="AL47" i="7"/>
  <c r="AM47" i="7"/>
  <c r="AN47" i="7" s="1"/>
  <c r="AO47" i="7" s="1"/>
  <c r="AK36" i="7"/>
  <c r="AM36" i="7" s="1"/>
  <c r="AN36" i="7" s="1"/>
  <c r="AO36" i="7" s="1"/>
  <c r="M9" i="9"/>
  <c r="M11" i="9" s="1"/>
  <c r="AK136" i="7"/>
  <c r="AM136" i="7" s="1"/>
  <c r="AN136" i="7" s="1"/>
  <c r="AO136" i="7" s="1"/>
  <c r="AL77" i="7"/>
  <c r="AM77" i="7"/>
  <c r="AN77" i="7" s="1"/>
  <c r="AO77" i="7" s="1"/>
  <c r="AK135" i="7"/>
  <c r="AM135" i="7" s="1"/>
  <c r="AN135" i="7" s="1"/>
  <c r="AO135" i="7" s="1"/>
  <c r="AK92" i="7"/>
  <c r="AM92" i="7" s="1"/>
  <c r="AN92" i="7" s="1"/>
  <c r="AO92" i="7" s="1"/>
  <c r="AK176" i="7"/>
  <c r="AM176" i="7" s="1"/>
  <c r="AN176" i="7" s="1"/>
  <c r="AO176" i="7" s="1"/>
  <c r="AK134" i="7"/>
  <c r="AM134" i="7" s="1"/>
  <c r="AN134" i="7" s="1"/>
  <c r="AO134" i="7" s="1"/>
  <c r="AL134" i="7"/>
  <c r="AK104" i="7"/>
  <c r="AM104" i="7" s="1"/>
  <c r="AN104" i="7" s="1"/>
  <c r="AO104" i="7" s="1"/>
  <c r="AL151" i="7"/>
  <c r="AM151" i="7"/>
  <c r="AN151" i="7" s="1"/>
  <c r="AO151" i="7" s="1"/>
  <c r="AL69" i="7"/>
  <c r="AM69" i="7"/>
  <c r="AN69" i="7" s="1"/>
  <c r="AO69" i="7" s="1"/>
  <c r="AL94" i="7"/>
  <c r="AL137" i="7"/>
  <c r="AL16" i="7"/>
  <c r="AL32" i="7"/>
  <c r="AL173" i="7"/>
  <c r="AL70" i="7"/>
  <c r="AL52" i="7"/>
  <c r="AO185" i="7"/>
  <c r="AO193" i="7" s="1"/>
  <c r="AN193" i="7"/>
  <c r="AL115" i="7"/>
  <c r="AL40" i="7"/>
  <c r="AL118" i="7"/>
  <c r="AL158" i="7"/>
  <c r="AL167" i="7"/>
  <c r="AL150" i="7"/>
  <c r="AL51" i="7"/>
  <c r="AM51" i="7"/>
  <c r="AN51" i="7" s="1"/>
  <c r="AO51" i="7" s="1"/>
  <c r="AK100" i="7"/>
  <c r="AM100" i="7" s="1"/>
  <c r="AN100" i="7" s="1"/>
  <c r="AO100" i="7" s="1"/>
  <c r="AL55" i="7"/>
  <c r="AM55" i="7"/>
  <c r="AN55" i="7" s="1"/>
  <c r="AO55" i="7" s="1"/>
  <c r="AK152" i="7"/>
  <c r="AM152" i="7" s="1"/>
  <c r="AN152" i="7" s="1"/>
  <c r="AO152" i="7" s="1"/>
  <c r="AK132" i="7"/>
  <c r="AM132" i="7" s="1"/>
  <c r="AN132" i="7" s="1"/>
  <c r="AO132" i="7" s="1"/>
  <c r="AK155" i="7"/>
  <c r="AM155" i="7" s="1"/>
  <c r="AN155" i="7" s="1"/>
  <c r="AO155" i="7" s="1"/>
  <c r="AM181" i="7"/>
  <c r="BC64" i="4"/>
  <c r="H9" i="9"/>
  <c r="H11" i="9" s="1"/>
  <c r="BA64" i="4"/>
  <c r="AZ50" i="4"/>
  <c r="AZ64" i="4" s="1"/>
  <c r="AM42" i="5"/>
  <c r="AM55" i="5" s="1"/>
  <c r="AL55" i="5"/>
  <c r="J23" i="9" s="1"/>
  <c r="Q17" i="9"/>
  <c r="AS20" i="4"/>
  <c r="AS35" i="4" s="1"/>
  <c r="AS50" i="4" s="1"/>
  <c r="AS75" i="4" s="1"/>
  <c r="AR35" i="4"/>
  <c r="AR50" i="4" s="1"/>
  <c r="AR75" i="4" s="1"/>
  <c r="F9" i="9"/>
  <c r="F11" i="9" s="1"/>
  <c r="Q9" i="9"/>
  <c r="Q11" i="9" s="1"/>
  <c r="E13" i="9"/>
  <c r="M17" i="9"/>
  <c r="P9" i="9"/>
  <c r="P11" i="9" s="1"/>
  <c r="K9" i="9"/>
  <c r="K11" i="9" s="1"/>
  <c r="L17" i="9"/>
  <c r="H17" i="9"/>
  <c r="N17" i="9"/>
  <c r="P17" i="9"/>
  <c r="J9" i="9"/>
  <c r="J11" i="9" s="1"/>
  <c r="N9" i="9"/>
  <c r="N11" i="9" s="1"/>
  <c r="G17" i="9"/>
  <c r="I9" i="9"/>
  <c r="I11" i="9" s="1"/>
  <c r="G9" i="9"/>
  <c r="G11" i="9" s="1"/>
  <c r="K17" i="9"/>
  <c r="AN20" i="4"/>
  <c r="AN35" i="4" s="1"/>
  <c r="AM35" i="4"/>
  <c r="O17" i="9"/>
  <c r="O9" i="9"/>
  <c r="O11" i="9" s="1"/>
  <c r="E15" i="9"/>
  <c r="AJ162" i="7"/>
  <c r="AI162" i="7"/>
  <c r="AL135" i="7" l="1"/>
  <c r="AL114" i="7"/>
  <c r="AL60" i="7"/>
  <c r="AL132" i="7"/>
  <c r="AL113" i="7"/>
  <c r="AL36" i="7"/>
  <c r="AL148" i="7"/>
  <c r="AL121" i="7"/>
  <c r="AL152" i="7"/>
  <c r="AL176" i="7"/>
  <c r="AL92" i="7"/>
  <c r="AL100" i="7"/>
  <c r="AL104" i="7"/>
  <c r="AN144" i="7"/>
  <c r="AM162" i="7"/>
  <c r="AL50" i="7"/>
  <c r="AL155" i="7"/>
  <c r="AL136" i="7"/>
  <c r="AO164" i="7"/>
  <c r="AO171" i="7" s="1"/>
  <c r="AN171" i="7"/>
  <c r="AL175" i="7"/>
  <c r="AL20" i="7"/>
  <c r="AO142" i="7"/>
  <c r="AL46" i="7"/>
  <c r="AL28" i="7"/>
  <c r="AL129" i="7"/>
  <c r="AL179" i="7"/>
  <c r="AN181" i="7"/>
  <c r="AM142" i="7"/>
  <c r="AN142" i="7"/>
  <c r="AO181" i="7"/>
  <c r="E17" i="9"/>
  <c r="AR64" i="4"/>
  <c r="AS64" i="4"/>
  <c r="AM50" i="4"/>
  <c r="AM64" i="4" s="1"/>
  <c r="AM75" i="4" s="1"/>
  <c r="AN50" i="4"/>
  <c r="AN64" i="4" s="1"/>
  <c r="AN75" i="4" s="1"/>
  <c r="E9" i="9"/>
  <c r="AM214" i="7" l="1"/>
  <c r="F28" i="9" s="1"/>
  <c r="AN162" i="7"/>
  <c r="AN214" i="7" s="1"/>
  <c r="I24" i="9" s="1"/>
  <c r="J24" i="9" s="1"/>
  <c r="AO144" i="7"/>
  <c r="AO162" i="7" s="1"/>
  <c r="AO214" i="7" s="1"/>
  <c r="H28" i="9" s="1"/>
  <c r="E11" i="9"/>
  <c r="F30" i="9"/>
  <c r="G28" i="9" l="1"/>
  <c r="I26" i="9"/>
  <c r="J26" i="9" s="1"/>
  <c r="J28" i="9" s="1"/>
  <c r="I28" i="9" l="1"/>
</calcChain>
</file>

<file path=xl/sharedStrings.xml><?xml version="1.0" encoding="utf-8"?>
<sst xmlns="http://schemas.openxmlformats.org/spreadsheetml/2006/main" count="830" uniqueCount="484">
  <si>
    <t>:</t>
  </si>
  <si>
    <t>Inisial</t>
  </si>
  <si>
    <t>Tanggal</t>
  </si>
  <si>
    <t>Disiapkan oleh</t>
  </si>
  <si>
    <t>Direviu oleh</t>
  </si>
  <si>
    <t>Kendaraan</t>
  </si>
  <si>
    <t>Bangunan</t>
  </si>
  <si>
    <t>No</t>
  </si>
  <si>
    <t>Dr</t>
  </si>
  <si>
    <t>Cr</t>
  </si>
  <si>
    <t>Unaudited</t>
  </si>
  <si>
    <t>Audited</t>
  </si>
  <si>
    <t>Harga Perolehan</t>
  </si>
  <si>
    <t>Tanah</t>
  </si>
  <si>
    <t>Peralatan Kantor</t>
  </si>
  <si>
    <t>Peralatan Bengkel</t>
  </si>
  <si>
    <t>158-001</t>
  </si>
  <si>
    <t>Akumulasi Penyusutan - Bangunan</t>
  </si>
  <si>
    <t>158-101</t>
  </si>
  <si>
    <t>Akumulasi Penyusutan - Peralatan Kantor</t>
  </si>
  <si>
    <t>158-301</t>
  </si>
  <si>
    <t>Akumulasi Penyusutan - Kendaraan</t>
  </si>
  <si>
    <t>Client</t>
  </si>
  <si>
    <t>Period</t>
  </si>
  <si>
    <t>Schedule</t>
  </si>
  <si>
    <t>Akumulasi Penyusutan</t>
  </si>
  <si>
    <t>Nilai Buku</t>
  </si>
  <si>
    <t>J101</t>
  </si>
  <si>
    <t>Tes Perhitungan Beban Penyusutan Aset Tetap</t>
  </si>
  <si>
    <t>Tanggal Perolehan</t>
  </si>
  <si>
    <t>Deskripsi</t>
  </si>
  <si>
    <t>Tarif</t>
  </si>
  <si>
    <t>PAJE/CAJE/RJE</t>
  </si>
  <si>
    <t>Life</t>
  </si>
  <si>
    <t>Beginning of Depreciation</t>
  </si>
  <si>
    <t>Ending of Depreciation</t>
  </si>
  <si>
    <t>Penyusutan per Bulan</t>
  </si>
  <si>
    <t>Tanggal TA</t>
  </si>
  <si>
    <t>Penambahan</t>
  </si>
  <si>
    <t>Pengurangan</t>
  </si>
  <si>
    <t>Awal</t>
  </si>
  <si>
    <t>Penyesuaian</t>
  </si>
  <si>
    <t>Month</t>
  </si>
  <si>
    <t>Year</t>
  </si>
  <si>
    <t>Bulan</t>
  </si>
  <si>
    <t>Beban Penyusutan</t>
  </si>
  <si>
    <t>Audit</t>
  </si>
  <si>
    <t>Toyota Kijang Inova Diesel B 1022 KOF</t>
  </si>
  <si>
    <t>Toyota Avanza Veloz B.1024 KOF</t>
  </si>
  <si>
    <t>Toyota Avanza 1,5 G B 1023 KOF</t>
  </si>
  <si>
    <t>Toyota Avanza 1,5 G B 1002 KOG</t>
  </si>
  <si>
    <t>Motor Honda B 3576 KJO</t>
  </si>
  <si>
    <t>Motor Supra X B 3963 KJI</t>
  </si>
  <si>
    <t>Mobil HRV</t>
  </si>
  <si>
    <t>Motor Honda Vario 150 ESP</t>
  </si>
  <si>
    <t>Mobil Grand Max (PT.Tam)</t>
  </si>
  <si>
    <t>Kijang Inova</t>
  </si>
  <si>
    <t>Kijang Inova-Assecories Innova</t>
  </si>
  <si>
    <t>Mobil Proton Exora Thn2009</t>
  </si>
  <si>
    <t>Mobil Toyota Innova G 2009</t>
  </si>
  <si>
    <t>Motor Honda Vario Black</t>
  </si>
  <si>
    <t>Motor N-MAX</t>
  </si>
  <si>
    <t>ASET TA</t>
  </si>
  <si>
    <t>Isuzu Elf NKR 55 95  B 9147 KDA</t>
  </si>
  <si>
    <t>Toyota Avanza Veloz B.1541 KRG</t>
  </si>
  <si>
    <t>Audit Notes:</t>
  </si>
  <si>
    <t>Per Book</t>
  </si>
  <si>
    <t>Selisih akm peny tahun 2017</t>
  </si>
  <si>
    <t>Selisih beban peny tahun 2018</t>
  </si>
  <si>
    <t>Selisih</t>
  </si>
  <si>
    <t>PAJE:</t>
  </si>
  <si>
    <t>412-066</t>
  </si>
  <si>
    <t>Penyusutan Aktiva Tetap</t>
  </si>
  <si>
    <t>500-015-x</t>
  </si>
  <si>
    <t>Lain -lain</t>
  </si>
  <si>
    <t>(Kurang catat beban penyusutan untuk aset biasa dan aset TA)</t>
  </si>
  <si>
    <t>No Voucher</t>
  </si>
  <si>
    <t>Renovasi Gedung Lt.2</t>
  </si>
  <si>
    <t>Sliding door lt.2</t>
  </si>
  <si>
    <t>Renovasi Gedung Lt.1</t>
  </si>
  <si>
    <t>Renovasi Kantor Belakang-Progress-1</t>
  </si>
  <si>
    <t>Renovasi Kantor Belakang-Progress-2</t>
  </si>
  <si>
    <t>Renovasi Kantor Belakang-Progress-3</t>
  </si>
  <si>
    <t>Renovasi Kantor Belakang-Progress-4</t>
  </si>
  <si>
    <t>Renovasi Kantor Belakang &amp; Kanopi</t>
  </si>
  <si>
    <t>Perbaikan Atap Gudang-Pembyrn ke-1</t>
  </si>
  <si>
    <t>Biaya Perbaikan Atap Spandek ke-2</t>
  </si>
  <si>
    <t>Renovasi Kantor Belakang 5% retensi</t>
  </si>
  <si>
    <t>Renovasi plafon luar gudang depan/Belakang</t>
  </si>
  <si>
    <t>Pelunasan penggantian atap spanduk</t>
  </si>
  <si>
    <t>Anta Dwi Bangunan- Bayar Matrial Bangunan</t>
  </si>
  <si>
    <t xml:space="preserve">Perbaikan Kamar Mandi Belakang </t>
  </si>
  <si>
    <t>Kanopi Kantor Belakang,Kamar Mandi</t>
  </si>
  <si>
    <t>Renovasi Kamar Mandi, R.Satpam</t>
  </si>
  <si>
    <t>PL.Pembuatan Khusen Pintu Ko. Asem</t>
  </si>
  <si>
    <t>T 93/02/18</t>
  </si>
  <si>
    <t>Renovasi Bengkel Srby</t>
  </si>
  <si>
    <t>T05/04/18</t>
  </si>
  <si>
    <t>Pemb.ke-1.Renovasi Tangga/Mess</t>
  </si>
  <si>
    <t>T46/04/18</t>
  </si>
  <si>
    <t>Pemb.ke-2.Renovasi Tangga/Mess</t>
  </si>
  <si>
    <t>Pemb.ke-3.Renovasi Tangga/Mess</t>
  </si>
  <si>
    <t>T61/04/18</t>
  </si>
  <si>
    <t>Pemb.ke-4.Renovasi Tangga/Mess</t>
  </si>
  <si>
    <t>T13/05/18</t>
  </si>
  <si>
    <t>PL Renovasi Tangga/Mess</t>
  </si>
  <si>
    <t>(Lebih catat beban penyusutan untuk aset biasa dan aset TA)</t>
  </si>
  <si>
    <t>Sukoharjo</t>
  </si>
  <si>
    <t>Semarang</t>
  </si>
  <si>
    <t>Surabaya</t>
  </si>
  <si>
    <t>Bekasi</t>
  </si>
  <si>
    <t>No Voucher/ Tanggal TA</t>
  </si>
  <si>
    <t>Komputer Intel P-IV 3.0 Lengkap</t>
  </si>
  <si>
    <t>CD Rom</t>
  </si>
  <si>
    <t>Switch Hub 5 Port</t>
  </si>
  <si>
    <t>Printer Epson LQ 2180</t>
  </si>
  <si>
    <t>Kabel Instalasi Computer</t>
  </si>
  <si>
    <t>HP N.2126 + Perdana Fren</t>
  </si>
  <si>
    <t xml:space="preserve">Printer Epson LX-300 </t>
  </si>
  <si>
    <t>Mesin Foto copy Canon IR-2016</t>
  </si>
  <si>
    <t>Komputer Intel P-IV 2140</t>
  </si>
  <si>
    <t>UPS 650 VA u/ Absensi</t>
  </si>
  <si>
    <t>Key Phone+Kabel 100 m</t>
  </si>
  <si>
    <t>Stand Fan Miyako Kas-1627 KB</t>
  </si>
  <si>
    <t xml:space="preserve">UPS APC BR 500 i </t>
  </si>
  <si>
    <t>Stabilizer Matrunaga</t>
  </si>
  <si>
    <t>Mesin Foto Copy Minolta BIZHUB 163</t>
  </si>
  <si>
    <t>Printer PHD 2180</t>
  </si>
  <si>
    <t>Hp Nokia 1325 Black</t>
  </si>
  <si>
    <t>UPS APC BR 5001</t>
  </si>
  <si>
    <t>AC Fujiaire Tipe FBS-18/FC-18 (2 pk)</t>
  </si>
  <si>
    <t>AC Fujiaire Tipe FBS-09/FC-09 (1 pk)</t>
  </si>
  <si>
    <t>Monitor LCD LG 17"</t>
  </si>
  <si>
    <t>Mesin Penghancur kertas</t>
  </si>
  <si>
    <t>Monitor LCD 19" Samsung B 1920</t>
  </si>
  <si>
    <t>Printer HP Laserjet 1102</t>
  </si>
  <si>
    <t>UPS APC BE 525 AS</t>
  </si>
  <si>
    <t>Netbook Ienovo Ideapad B 460-640</t>
  </si>
  <si>
    <t>Notebook HP Pavilion G4 1003 TX</t>
  </si>
  <si>
    <t>Printer HP Deskjet 1050</t>
  </si>
  <si>
    <t>Penghancur Kertas Secure Type 6315A</t>
  </si>
  <si>
    <t>Telpon Panasonic TSC11MX</t>
  </si>
  <si>
    <t>Mesin Tik Elektrik Brother GX 8250</t>
  </si>
  <si>
    <t>Mesin Tik Manual Brtoher 13"</t>
  </si>
  <si>
    <t>Processor Intel Core i3 2100 3.1 Chz</t>
  </si>
  <si>
    <t>Kipas Angin</t>
  </si>
  <si>
    <t>C Mos Fan</t>
  </si>
  <si>
    <t>AC Split Sharp 1 PK</t>
  </si>
  <si>
    <t>Hardisk 160 GB IDE Seagate</t>
  </si>
  <si>
    <t>CCTV Equipment</t>
  </si>
  <si>
    <t>UPS APC SU A 650 i</t>
  </si>
  <si>
    <t>Projector Infocus IN 114</t>
  </si>
  <si>
    <t>Intel Core+Main board+ram</t>
  </si>
  <si>
    <t>AC Fujiaire</t>
  </si>
  <si>
    <t>PC Core I3-220</t>
  </si>
  <si>
    <t>Scanner Canon Lide 110+kabel</t>
  </si>
  <si>
    <t>Eratone-HP Nokia Asha 310 Black</t>
  </si>
  <si>
    <t>Printer Canon MJ2570</t>
  </si>
  <si>
    <t>Lenovo S410P-8529</t>
  </si>
  <si>
    <t>Notebook Dell Inspiron 11-3137</t>
  </si>
  <si>
    <t>AC Split Daikin 1 PK FT 25LV +R25LV</t>
  </si>
  <si>
    <t>AC Split Daikin 3/4 PK FT 20LV +R20LV</t>
  </si>
  <si>
    <t>Kitchen set, meja</t>
  </si>
  <si>
    <t>PABX Panasonic 824 + key phone</t>
  </si>
  <si>
    <t>Laptop Lenovo G400</t>
  </si>
  <si>
    <t>Dispenser Sharp SWD 70</t>
  </si>
  <si>
    <t>PT. Global Inti Solusi-CCTV + perbaikan</t>
  </si>
  <si>
    <t>Lenovo AIO C460-9023</t>
  </si>
  <si>
    <t>Printer Dotmatrix Epson LQ310</t>
  </si>
  <si>
    <t>Led Lenovo 18,5"</t>
  </si>
  <si>
    <t>Notebook Lenovo B490-8053</t>
  </si>
  <si>
    <t>AC 1 PK</t>
  </si>
  <si>
    <t>1 Unit HP GLx Grand Prime Black</t>
  </si>
  <si>
    <t>Printer Canon</t>
  </si>
  <si>
    <t>1 Pc Lenovo B350</t>
  </si>
  <si>
    <t>Printer HP 2445</t>
  </si>
  <si>
    <t>Pesawat telpon</t>
  </si>
  <si>
    <t xml:space="preserve">Printer Epson LQ310 + Cable Printer </t>
  </si>
  <si>
    <t>PC Rakitan Interactive</t>
  </si>
  <si>
    <t>Printer+mainboard</t>
  </si>
  <si>
    <t>Interactive CPU</t>
  </si>
  <si>
    <t>Fax Panasonic KXFT 983</t>
  </si>
  <si>
    <t>Laptop I unit</t>
  </si>
  <si>
    <t>Interactive-1 unit Rakitan+Monitor</t>
  </si>
  <si>
    <t>1 unit CPU Pentium IV Lengkap</t>
  </si>
  <si>
    <t>Desk fan Maspion</t>
  </si>
  <si>
    <t>Printer HP Deskjet 2180</t>
  </si>
  <si>
    <t>Led Monitor LG 19,5</t>
  </si>
  <si>
    <t>Ac Daikin Split 2PK</t>
  </si>
  <si>
    <t xml:space="preserve">Handphone </t>
  </si>
  <si>
    <t>Printer Canon &amp; tinta HP 21 black</t>
  </si>
  <si>
    <t>Kipas angin dinding musholla TK</t>
  </si>
  <si>
    <t>Cannon HP Epson  Pixma MG 25705</t>
  </si>
  <si>
    <t xml:space="preserve">UPS APC 650 </t>
  </si>
  <si>
    <t xml:space="preserve">Stabilizer Minamoto SM 1000 (500 Watt) </t>
  </si>
  <si>
    <t>1 Unit Mesin TIK Olympia 13"</t>
  </si>
  <si>
    <t>Casio DR - 240</t>
  </si>
  <si>
    <t>PC 54/11</t>
  </si>
  <si>
    <t>UPS APC800, Battery UPS 12V-7</t>
  </si>
  <si>
    <t>PC 139/11</t>
  </si>
  <si>
    <t>Printer MP 287 + Infus</t>
  </si>
  <si>
    <t>PC 114/01</t>
  </si>
  <si>
    <t>Monitor,Keyboard,Mouse</t>
  </si>
  <si>
    <t>T96/02/17</t>
  </si>
  <si>
    <t>PC 80/03/17</t>
  </si>
  <si>
    <t>Telepon Krisbow Big Button</t>
  </si>
  <si>
    <t>T 22/05/17</t>
  </si>
  <si>
    <t>1 Unit PC Rakitan,Proccessor</t>
  </si>
  <si>
    <t>PC 83/05/17</t>
  </si>
  <si>
    <t xml:space="preserve">Printer Epson LQ-310 </t>
  </si>
  <si>
    <t>T 71/06/17</t>
  </si>
  <si>
    <t>PC 162/07</t>
  </si>
  <si>
    <t>Monitor LG 20MP</t>
  </si>
  <si>
    <t>T17/08</t>
  </si>
  <si>
    <t>Thinkserver Lenovo TS150</t>
  </si>
  <si>
    <t>T18/08</t>
  </si>
  <si>
    <t>PC 173/08</t>
  </si>
  <si>
    <t>Keyboard Logitech</t>
  </si>
  <si>
    <t>T91/09/17</t>
  </si>
  <si>
    <t xml:space="preserve">AC Sharp 2PK </t>
  </si>
  <si>
    <t xml:space="preserve">AC Sharp 1PK </t>
  </si>
  <si>
    <t>T77/11</t>
  </si>
  <si>
    <t>Printer Epson LX.310</t>
  </si>
  <si>
    <t>T74/01/18</t>
  </si>
  <si>
    <t>Printer Epson LX310</t>
  </si>
  <si>
    <t>BYM</t>
  </si>
  <si>
    <t>T24/01/18</t>
  </si>
  <si>
    <t>Printer Barcode</t>
  </si>
  <si>
    <t>Scanner Barcode</t>
  </si>
  <si>
    <t>T59/03/18</t>
  </si>
  <si>
    <t>Komputer GB H81</t>
  </si>
  <si>
    <t>T103/02/18</t>
  </si>
  <si>
    <t>T29/04/18</t>
  </si>
  <si>
    <t>Komputer HRD</t>
  </si>
  <si>
    <t>PC216/03/18</t>
  </si>
  <si>
    <t>Printer MP 287</t>
  </si>
  <si>
    <t>T66/05/18</t>
  </si>
  <si>
    <t>AC Sharp</t>
  </si>
  <si>
    <t>T72/06/18</t>
  </si>
  <si>
    <t>UPS</t>
  </si>
  <si>
    <t>T32/07/18</t>
  </si>
  <si>
    <t>1 Unit Komputer</t>
  </si>
  <si>
    <t>T114/07/18</t>
  </si>
  <si>
    <t>PC311/10/18</t>
  </si>
  <si>
    <t>T 23/11/18</t>
  </si>
  <si>
    <t>Stabilizer Matsuyama</t>
  </si>
  <si>
    <t>Jet Pump Shimitsu PC 268 - Bit</t>
  </si>
  <si>
    <t>Gloor Blender Potong</t>
  </si>
  <si>
    <t>Vacum Pump Robin Air 3/4 PK 15121A</t>
  </si>
  <si>
    <t>Mesin Gurinda</t>
  </si>
  <si>
    <t>Stang Rivet Lobster HND-005</t>
  </si>
  <si>
    <t>Kipas</t>
  </si>
  <si>
    <t>Etalase mading</t>
  </si>
  <si>
    <t>Mesin Bor Tangan Hitachi</t>
  </si>
  <si>
    <t>Bor Listrik Maxtex-MT 808 2 bh@500.000</t>
  </si>
  <si>
    <t>PCS10/III/17</t>
  </si>
  <si>
    <t>Hydraulic Hand Stacker</t>
  </si>
  <si>
    <t>T53/06/18</t>
  </si>
  <si>
    <t>Mesin Vacum</t>
  </si>
  <si>
    <t xml:space="preserve"> </t>
  </si>
  <si>
    <t>JAN</t>
  </si>
  <si>
    <t>FEB</t>
  </si>
  <si>
    <t>MAR</t>
  </si>
  <si>
    <t>APR</t>
  </si>
  <si>
    <t>MAY</t>
  </si>
  <si>
    <t>JUNE</t>
  </si>
  <si>
    <t>JUL</t>
  </si>
  <si>
    <t>AUG</t>
  </si>
  <si>
    <t>SEP</t>
  </si>
  <si>
    <t>OCT</t>
  </si>
  <si>
    <t>NOV</t>
  </si>
  <si>
    <t>DEC</t>
  </si>
  <si>
    <t>TOTAL</t>
  </si>
  <si>
    <t>T 11/01/19</t>
  </si>
  <si>
    <t>1 Unit AC - Daikin 2 PK</t>
  </si>
  <si>
    <t>Roller Blind</t>
  </si>
  <si>
    <t>T 04/03/19</t>
  </si>
  <si>
    <t>1 Unit AC - Panasonic 2 PK</t>
  </si>
  <si>
    <t>2 Unit Printer HP Deskjet 2677</t>
  </si>
  <si>
    <t>PC 71/07/19</t>
  </si>
  <si>
    <t>PC 21/06/19</t>
  </si>
  <si>
    <t>PC 69/02/19</t>
  </si>
  <si>
    <t xml:space="preserve">1 Unit  Dispenser Sanken </t>
  </si>
  <si>
    <t>Carport - Parkiran</t>
  </si>
  <si>
    <t>T 50/01/19</t>
  </si>
  <si>
    <t>T73/01/19</t>
  </si>
  <si>
    <t>Perbaikan Gudang</t>
  </si>
  <si>
    <t>T 96/10/19</t>
  </si>
  <si>
    <t>1 Unit  AC - Daikin 2 PK</t>
  </si>
  <si>
    <t>T127/10/19</t>
  </si>
  <si>
    <t>Pompa Merk Shimizu</t>
  </si>
  <si>
    <t>1 Unit Chain Hoist</t>
  </si>
  <si>
    <t>T122/10/19</t>
  </si>
  <si>
    <t xml:space="preserve">  </t>
  </si>
  <si>
    <t>TA</t>
  </si>
  <si>
    <t>T 83/05/20</t>
  </si>
  <si>
    <t>T 85/05/20</t>
  </si>
  <si>
    <t>PC 67/06/20</t>
  </si>
  <si>
    <t>PC 77/06/20</t>
  </si>
  <si>
    <t>PC 153/06/20</t>
  </si>
  <si>
    <t>CCTV</t>
  </si>
  <si>
    <t>HD Weatherproff, Adaptor, Kabel Dll.</t>
  </si>
  <si>
    <t>1 Unit Mesin Absensi</t>
  </si>
  <si>
    <t>1 Unit Kulkas</t>
  </si>
  <si>
    <t>1 Unit Telephone KX-505</t>
  </si>
  <si>
    <t>PC 175/07/20</t>
  </si>
  <si>
    <t>PC 201/07/20</t>
  </si>
  <si>
    <t>1 Unit Kipas Angin Miyako</t>
  </si>
  <si>
    <t>1 Unit Oven Microwave</t>
  </si>
  <si>
    <t>Dr.</t>
  </si>
  <si>
    <t>Cr.</t>
  </si>
  <si>
    <t>158-201</t>
  </si>
  <si>
    <t>Normal</t>
  </si>
  <si>
    <t>MEI</t>
  </si>
  <si>
    <t>JUN</t>
  </si>
  <si>
    <t>OKT</t>
  </si>
  <si>
    <t>NOP</t>
  </si>
  <si>
    <t>DES</t>
  </si>
  <si>
    <t>21022004P067</t>
  </si>
  <si>
    <t>Unit LAPTOP - VIVO BOOK + Antivirus</t>
  </si>
  <si>
    <t>GJ21020001</t>
  </si>
  <si>
    <t>21031003P211</t>
  </si>
  <si>
    <t>Unit Printer</t>
  </si>
  <si>
    <t>Unit UPS GPOWER GP200 800VA</t>
  </si>
  <si>
    <t>21051003P088</t>
  </si>
  <si>
    <t>Unit Dispenser</t>
  </si>
  <si>
    <t>21062004P017</t>
  </si>
  <si>
    <t>21062004P079</t>
  </si>
  <si>
    <t>Unit Desktop ASUS</t>
  </si>
  <si>
    <t>Unit Printer EPSON L3110</t>
  </si>
  <si>
    <t>Unit Printer EPSON L3150</t>
  </si>
  <si>
    <t>Unit PC AIO LENOVO</t>
  </si>
  <si>
    <t>Unit LAPTOP- LENOVO Ideapad Slim</t>
  </si>
  <si>
    <t>Unit LAPTOP- LENOVO 141TL05</t>
  </si>
  <si>
    <t>21062004P076</t>
  </si>
  <si>
    <t>Digital Multimeter</t>
  </si>
  <si>
    <t>Clamp Meter</t>
  </si>
  <si>
    <t>Refrigeran Leak Detector</t>
  </si>
  <si>
    <t>Temperatur Data Logger</t>
  </si>
  <si>
    <t>Digital Manifold Testo</t>
  </si>
  <si>
    <t>Digital Manifold Testo 570</t>
  </si>
  <si>
    <t>Infrared Thermometer</t>
  </si>
  <si>
    <t>High Presurre</t>
  </si>
  <si>
    <t>21071003P038</t>
  </si>
  <si>
    <t>21072004P045</t>
  </si>
  <si>
    <t>Pompa Shimizu</t>
  </si>
  <si>
    <t>Mesin Bor Makita</t>
  </si>
  <si>
    <t>Unit Mesin Las</t>
  </si>
  <si>
    <t>21081003P039</t>
  </si>
  <si>
    <t>Unit TP-Link 16 Port Gigabit Smart Switch</t>
  </si>
  <si>
    <t>21091003P017</t>
  </si>
  <si>
    <t>21092004P077</t>
  </si>
  <si>
    <t>21092004P086</t>
  </si>
  <si>
    <t>Unit Komputer Lenovo A10</t>
  </si>
  <si>
    <t>Unit Printer Epson L-3210</t>
  </si>
  <si>
    <t>License PB Appeon 50%</t>
  </si>
  <si>
    <t>21102004P044</t>
  </si>
  <si>
    <t>License PB Appeon sisa 50% Lunas</t>
  </si>
  <si>
    <t>Unit Komputer Lenovo A.10A340</t>
  </si>
  <si>
    <t>21102004P088</t>
  </si>
  <si>
    <t>21102004P089</t>
  </si>
  <si>
    <t>Clamp Thermo Operated</t>
  </si>
  <si>
    <t>V-Belt Tension Meter RTM</t>
  </si>
  <si>
    <t>21112004P122</t>
  </si>
  <si>
    <t>RAM Server DIMM 16GB PC2400 SK HYNIX</t>
  </si>
  <si>
    <t>21122004P078</t>
  </si>
  <si>
    <t>22012004P047</t>
  </si>
  <si>
    <t>Unit AC Merk GREE</t>
  </si>
  <si>
    <t>AKTIVA</t>
  </si>
  <si>
    <t>PENYUSUTAN</t>
  </si>
  <si>
    <t>AKUM.PENYUSUTAN</t>
  </si>
  <si>
    <t>NILAI BUKU</t>
  </si>
  <si>
    <t>Perlengkapan Kantor</t>
  </si>
  <si>
    <t>Perlengkapan Bengkel</t>
  </si>
  <si>
    <t>22031003P188</t>
  </si>
  <si>
    <t>Unit Tangga Multiporse 4x4 Step</t>
  </si>
  <si>
    <t>22062004P044</t>
  </si>
  <si>
    <t>Temperatus Data, USB Conection</t>
  </si>
  <si>
    <t>Mobil Toyota Camry A/T 2015</t>
  </si>
  <si>
    <t>22072004P039</t>
  </si>
  <si>
    <t>Unit AC Merk PANASONIC 2 PK</t>
  </si>
  <si>
    <t>22082004P111</t>
  </si>
  <si>
    <t>22091003P099</t>
  </si>
  <si>
    <t>Dongkrak Botol 32 Ton + Bracket</t>
  </si>
  <si>
    <t>Mobil Mitsubishi Expander Ultimate</t>
  </si>
  <si>
    <t>22121003P062</t>
  </si>
  <si>
    <t>Mesin Bor Batere DF333</t>
  </si>
  <si>
    <t>OKT/NOP/DES 2022</t>
  </si>
  <si>
    <t>Unit AC Merk PANASONIC 1 PK</t>
  </si>
  <si>
    <t>23012004P069</t>
  </si>
  <si>
    <t>23011003P027</t>
  </si>
  <si>
    <t>SSD Server + Stabilizer</t>
  </si>
  <si>
    <t>23012004P119</t>
  </si>
  <si>
    <t>23021003P106</t>
  </si>
  <si>
    <t>Unit Pompa Air Shimizu PC 1353 + PC 268</t>
  </si>
  <si>
    <t>Unit Pompa Air Shimizu PC 268</t>
  </si>
  <si>
    <t>13-Peb-23</t>
  </si>
  <si>
    <t>Toyota Kijang Inova B 2203 SY</t>
  </si>
  <si>
    <t>Toyota Avanza B.1880 KFV</t>
  </si>
  <si>
    <t>Toyota Avanza B.1468 KFX</t>
  </si>
  <si>
    <t>Toyota Avanza B.1469 KFX</t>
  </si>
  <si>
    <t>16-Mei-23</t>
  </si>
  <si>
    <t>23051003P090</t>
  </si>
  <si>
    <t>Pcs Timbangan ECO - Freon</t>
  </si>
  <si>
    <t>23062004P081</t>
  </si>
  <si>
    <t>Bali 1.810 M2 Desa Sanur Kauh, Denpasar Selatan, Denpasar</t>
  </si>
  <si>
    <t xml:space="preserve">Bali </t>
  </si>
  <si>
    <t>Bali Turun Hak Tanah</t>
  </si>
  <si>
    <t>Bali BPHTB  1.810 M2</t>
  </si>
  <si>
    <t>Bali B.Validasi, Akte, BBN, PNB, Akte Notaris</t>
  </si>
  <si>
    <t>23071003P043</t>
  </si>
  <si>
    <t>Unit Dispenser merk SHARP</t>
  </si>
  <si>
    <t>23072004P074</t>
  </si>
  <si>
    <t>23072004P102</t>
  </si>
  <si>
    <t>Set Office Chair Lionet 1</t>
  </si>
  <si>
    <t>23072004P009</t>
  </si>
  <si>
    <t>23072004P094</t>
  </si>
  <si>
    <t>Pcs TESTO -Temperature Data</t>
  </si>
  <si>
    <t>Unit BOR Dudukkan 16 MM</t>
  </si>
  <si>
    <t>23092004P094</t>
  </si>
  <si>
    <t>Unit Printer Epson LQ-310</t>
  </si>
  <si>
    <t>23102004P146</t>
  </si>
  <si>
    <t>23101003P097</t>
  </si>
  <si>
    <t xml:space="preserve">Unit Pompa Air Shimizu </t>
  </si>
  <si>
    <t xml:space="preserve">     </t>
  </si>
  <si>
    <t>24042004P032</t>
  </si>
  <si>
    <t>Unit LCD Monitor</t>
  </si>
  <si>
    <t>Motor Yamaha PCX 150CBS</t>
  </si>
  <si>
    <t>24072004P051</t>
  </si>
  <si>
    <t>24072004P056</t>
  </si>
  <si>
    <t>Unit Laptop LENOVO R7773</t>
  </si>
  <si>
    <t>Unit Laptop LENOVO R5753</t>
  </si>
  <si>
    <t>Set CCTV - Bali</t>
  </si>
  <si>
    <t>24071003P027</t>
  </si>
  <si>
    <t>Unit Pompa Air Shimizu ( Mess )</t>
  </si>
  <si>
    <t>AJPU2407001</t>
  </si>
  <si>
    <t>Bengkel BALI Jl. Danau Poso No.2A Sanur - Bali</t>
  </si>
  <si>
    <t>24091003P061</t>
  </si>
  <si>
    <t>Set Cutting Gloor / Mata Blender</t>
  </si>
  <si>
    <t>23102004P088</t>
  </si>
  <si>
    <t>Unit Hand Pallet 3 Ton</t>
  </si>
  <si>
    <t>24082004P093</t>
  </si>
  <si>
    <t>Unit Computer Core I7 - 7000</t>
  </si>
  <si>
    <t>24092004P022</t>
  </si>
  <si>
    <t>24092004P218</t>
  </si>
  <si>
    <t>Set Vertical Blind - Bangunan Bali</t>
  </si>
  <si>
    <t>Unit TV HISENE 43</t>
  </si>
  <si>
    <t>24112004P081</t>
  </si>
  <si>
    <t>Unit LAPTOP NB MODERN</t>
  </si>
  <si>
    <t>Mobil Toyota Innova Zenix 2.0 Q HV CVT</t>
  </si>
  <si>
    <t>Mobil Toyota All New Veloz 1.5 Q CVT</t>
  </si>
  <si>
    <t>Mobil Daihatsu Grand Max MB 1.5 D PS</t>
  </si>
  <si>
    <t>25012004P121</t>
  </si>
  <si>
    <t>25012004P127</t>
  </si>
  <si>
    <t>Set Roller Blind - Ruang Meeting</t>
  </si>
  <si>
    <t>Unit Proyektor Infocus</t>
  </si>
  <si>
    <t>Unit Printer HP Smart 520</t>
  </si>
  <si>
    <t>Unit PRINTER HP SMART TANK 580</t>
  </si>
  <si>
    <t>25032004P076</t>
  </si>
  <si>
    <t>Buah Kursi IC046</t>
  </si>
  <si>
    <t>25042004P122</t>
  </si>
  <si>
    <t>Unit Mesin Absensi</t>
  </si>
  <si>
    <t>Motor Honda Vario 160ABS</t>
  </si>
  <si>
    <t>25062004P114</t>
  </si>
  <si>
    <t>Unit Dispenser SHARP SWD7</t>
  </si>
  <si>
    <t>Mobil JAECOO-J7-SHS</t>
  </si>
  <si>
    <t>25092004P116</t>
  </si>
  <si>
    <t>Unit Laptop LENOVO Yoga</t>
  </si>
  <si>
    <t>25092004P000</t>
  </si>
  <si>
    <t>Unit PRINTER HP Smart Tank 580 Wifi</t>
  </si>
  <si>
    <t>25112004P049</t>
  </si>
  <si>
    <t>25122004P156</t>
  </si>
  <si>
    <t>Unit KOMPUTER Desktop Core i7</t>
  </si>
  <si>
    <t>Akum. Peny. - Bangunan</t>
  </si>
  <si>
    <t>Akum. Peny. - Kendaraan</t>
  </si>
  <si>
    <t>Akum. Peny. - Peralatan Kantor</t>
  </si>
  <si>
    <t>Akum. Peny. - Peralatan Bengkel</t>
  </si>
  <si>
    <t>PT. THERMO ASRI MAKMUR</t>
  </si>
  <si>
    <t>26012004P017</t>
  </si>
  <si>
    <t>Unit AC Merk GREE 2 PK</t>
  </si>
  <si>
    <t>26011003P086</t>
  </si>
  <si>
    <t>Unit Monitor 22"</t>
  </si>
  <si>
    <t>Tahun 2026</t>
  </si>
  <si>
    <t>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</si>
</sst>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[$-409]dd\-mmm\-yy;@"/>
    <numFmt numFmtId="168" formatCode="[$-409]d\-mmm\-yy;@"/>
    <numFmt numFmtId="169" formatCode="0.0%"/>
    <numFmt numFmtId="170" formatCode="0_);\(0\)"/>
  </numFmts>
  <fonts count="24" x14ac:knownFonts="1">
    <font>
      <sz val="8"/>
      <color theme="1"/>
      <name val="Tahoma"/>
      <family val="2"/>
      <charset val="1"/>
    </font>
    <font>
      <sz val="8"/>
      <color theme="1"/>
      <name val="Tahoma"/>
      <family val="2"/>
      <charset val="1"/>
    </font>
    <font>
      <sz val="8"/>
      <color theme="1"/>
      <name val="Tahoma"/>
      <family val="2"/>
    </font>
    <font>
      <sz val="10"/>
      <name val="Century Gothic"/>
      <family val="2"/>
    </font>
    <font>
      <b/>
      <sz val="8"/>
      <name val="Tahoma"/>
      <family val="2"/>
    </font>
    <font>
      <b/>
      <sz val="14"/>
      <color rgb="FFFF0000"/>
      <name val="Tahoma"/>
      <family val="2"/>
    </font>
    <font>
      <b/>
      <sz val="8"/>
      <color theme="1"/>
      <name val="Tahoma"/>
      <family val="2"/>
    </font>
    <font>
      <b/>
      <u/>
      <sz val="8"/>
      <color theme="1"/>
      <name val="Tahoma"/>
      <family val="2"/>
    </font>
    <font>
      <sz val="8"/>
      <color rgb="FFFF0000"/>
      <name val="Tahoma"/>
      <family val="2"/>
    </font>
    <font>
      <i/>
      <sz val="8"/>
      <color theme="1"/>
      <name val="Tahoma"/>
      <family val="2"/>
    </font>
    <font>
      <sz val="8"/>
      <color indexed="8"/>
      <name val="Tahoma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name val="Tahoma"/>
      <family val="2"/>
    </font>
    <font>
      <i/>
      <sz val="8"/>
      <color rgb="FFFF0000"/>
      <name val="Tahoma"/>
      <family val="2"/>
    </font>
    <font>
      <sz val="8"/>
      <color rgb="FFFF0000"/>
      <name val="Tahoma"/>
      <family val="2"/>
      <charset val="1"/>
    </font>
    <font>
      <b/>
      <sz val="6"/>
      <color rgb="FF0070C0"/>
      <name val="Tahoma"/>
      <family val="2"/>
    </font>
    <font>
      <b/>
      <sz val="6"/>
      <color rgb="FF00B050"/>
      <name val="Tahoma"/>
      <family val="2"/>
    </font>
    <font>
      <b/>
      <sz val="7"/>
      <color theme="1"/>
      <name val="Tahoma"/>
      <family val="2"/>
    </font>
    <font>
      <sz val="11"/>
      <color theme="1"/>
      <name val="Tahoma"/>
      <family val="2"/>
      <charset val="1"/>
    </font>
    <font>
      <sz val="10"/>
      <color theme="1"/>
      <name val="Tahom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</cellStyleXfs>
  <cellXfs count="447">
    <xf numFmtId="0" fontId="0" fillId="0" borderId="0" xfId="0"/>
    <xf numFmtId="0" fontId="4" fillId="0" borderId="0" xfId="2" applyFont="1"/>
    <xf numFmtId="0" fontId="4" fillId="0" borderId="0" xfId="2" applyFont="1" applyAlignment="1">
      <alignment horizontal="center"/>
    </xf>
    <xf numFmtId="15" fontId="4" fillId="0" borderId="0" xfId="2" quotePrefix="1" applyNumberFormat="1" applyFont="1" applyAlignment="1">
      <alignment horizontal="left"/>
    </xf>
    <xf numFmtId="0" fontId="4" fillId="0" borderId="5" xfId="2" applyFont="1" applyBorder="1"/>
    <xf numFmtId="0" fontId="4" fillId="0" borderId="5" xfId="2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7" fillId="0" borderId="0" xfId="0" applyFont="1"/>
    <xf numFmtId="0" fontId="8" fillId="0" borderId="0" xfId="0" applyFont="1"/>
    <xf numFmtId="164" fontId="2" fillId="0" borderId="0" xfId="1" applyFont="1"/>
    <xf numFmtId="0" fontId="9" fillId="0" borderId="0" xfId="0" applyFont="1"/>
    <xf numFmtId="0" fontId="4" fillId="0" borderId="18" xfId="2" applyFont="1" applyBorder="1"/>
    <xf numFmtId="0" fontId="4" fillId="0" borderId="18" xfId="2" applyFont="1" applyBorder="1" applyAlignment="1">
      <alignment horizontal="center"/>
    </xf>
    <xf numFmtId="0" fontId="4" fillId="0" borderId="18" xfId="2" applyFont="1" applyBorder="1" applyAlignment="1">
      <alignment horizontal="left"/>
    </xf>
    <xf numFmtId="37" fontId="10" fillId="0" borderId="0" xfId="0" applyNumberFormat="1" applyFont="1"/>
    <xf numFmtId="164" fontId="15" fillId="2" borderId="19" xfId="1" applyFont="1" applyFill="1" applyBorder="1"/>
    <xf numFmtId="0" fontId="15" fillId="2" borderId="21" xfId="0" applyFont="1" applyFill="1" applyBorder="1" applyAlignment="1">
      <alignment horizontal="center"/>
    </xf>
    <xf numFmtId="164" fontId="15" fillId="0" borderId="1" xfId="1" applyFont="1" applyBorder="1"/>
    <xf numFmtId="164" fontId="15" fillId="0" borderId="22" xfId="1" applyFont="1" applyBorder="1"/>
    <xf numFmtId="0" fontId="15" fillId="0" borderId="7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166" fontId="4" fillId="0" borderId="18" xfId="2" applyNumberFormat="1" applyFont="1" applyBorder="1"/>
    <xf numFmtId="166" fontId="4" fillId="0" borderId="18" xfId="1" applyNumberFormat="1" applyFont="1" applyBorder="1"/>
    <xf numFmtId="164" fontId="4" fillId="0" borderId="18" xfId="6" applyFont="1" applyBorder="1"/>
    <xf numFmtId="164" fontId="4" fillId="0" borderId="18" xfId="1" applyFont="1" applyBorder="1"/>
    <xf numFmtId="0" fontId="15" fillId="2" borderId="20" xfId="0" applyFont="1" applyFill="1" applyBorder="1" applyAlignment="1">
      <alignment horizontal="center"/>
    </xf>
    <xf numFmtId="166" fontId="4" fillId="0" borderId="0" xfId="1" applyNumberFormat="1" applyFont="1"/>
    <xf numFmtId="164" fontId="4" fillId="0" borderId="0" xfId="6" applyFont="1" applyAlignment="1">
      <alignment horizontal="center"/>
    </xf>
    <xf numFmtId="164" fontId="4" fillId="0" borderId="0" xfId="1" applyFont="1" applyAlignment="1">
      <alignment horizontal="center"/>
    </xf>
    <xf numFmtId="15" fontId="4" fillId="0" borderId="0" xfId="2" quotePrefix="1" applyNumberFormat="1" applyFont="1"/>
    <xf numFmtId="164" fontId="15" fillId="0" borderId="3" xfId="1" applyFont="1" applyBorder="1"/>
    <xf numFmtId="0" fontId="15" fillId="0" borderId="4" xfId="0" applyFont="1" applyBorder="1" applyAlignment="1">
      <alignment horizontal="center"/>
    </xf>
    <xf numFmtId="166" fontId="4" fillId="0" borderId="5" xfId="1" applyNumberFormat="1" applyFont="1" applyBorder="1"/>
    <xf numFmtId="164" fontId="4" fillId="0" borderId="5" xfId="6" applyFont="1" applyBorder="1" applyAlignment="1">
      <alignment horizontal="center"/>
    </xf>
    <xf numFmtId="164" fontId="4" fillId="0" borderId="5" xfId="1" applyFont="1" applyBorder="1" applyAlignment="1">
      <alignment horizontal="center"/>
    </xf>
    <xf numFmtId="164" fontId="15" fillId="0" borderId="6" xfId="1" applyFont="1" applyBorder="1"/>
    <xf numFmtId="168" fontId="6" fillId="0" borderId="8" xfId="0" applyNumberFormat="1" applyFont="1" applyBorder="1" applyAlignment="1">
      <alignment horizontal="center" vertical="center" wrapText="1"/>
    </xf>
    <xf numFmtId="0" fontId="6" fillId="0" borderId="15" xfId="0" applyFont="1" applyBorder="1"/>
    <xf numFmtId="168" fontId="6" fillId="0" borderId="13" xfId="0" applyNumberFormat="1" applyFont="1" applyBorder="1" applyAlignment="1">
      <alignment horizontal="center" vertical="center" wrapText="1"/>
    </xf>
    <xf numFmtId="15" fontId="6" fillId="0" borderId="17" xfId="1" applyNumberFormat="1" applyFont="1" applyBorder="1" applyAlignment="1">
      <alignment horizontal="center" vertical="center"/>
    </xf>
    <xf numFmtId="168" fontId="6" fillId="0" borderId="10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4" fontId="6" fillId="0" borderId="16" xfId="1" applyFont="1" applyBorder="1" applyAlignment="1">
      <alignment horizontal="center" vertical="center"/>
    </xf>
    <xf numFmtId="0" fontId="4" fillId="0" borderId="17" xfId="13" applyFont="1" applyBorder="1" applyAlignment="1">
      <alignment horizontal="center" vertical="center"/>
    </xf>
    <xf numFmtId="164" fontId="6" fillId="0" borderId="12" xfId="1" applyFont="1" applyBorder="1" applyAlignment="1">
      <alignment horizontal="center" vertical="center"/>
    </xf>
    <xf numFmtId="164" fontId="6" fillId="0" borderId="16" xfId="1" applyFont="1" applyBorder="1" applyAlignment="1">
      <alignment horizontal="center" vertical="center" wrapText="1"/>
    </xf>
    <xf numFmtId="0" fontId="0" fillId="0" borderId="23" xfId="0" applyBorder="1"/>
    <xf numFmtId="168" fontId="0" fillId="0" borderId="23" xfId="0" applyNumberForma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164" fontId="0" fillId="0" borderId="23" xfId="1" applyFont="1" applyBorder="1"/>
    <xf numFmtId="0" fontId="0" fillId="0" borderId="15" xfId="0" applyBorder="1"/>
    <xf numFmtId="0" fontId="6" fillId="2" borderId="27" xfId="0" applyFont="1" applyFill="1" applyBorder="1"/>
    <xf numFmtId="168" fontId="6" fillId="2" borderId="27" xfId="0" applyNumberFormat="1" applyFont="1" applyFill="1" applyBorder="1" applyAlignment="1">
      <alignment horizontal="left"/>
    </xf>
    <xf numFmtId="168" fontId="6" fillId="2" borderId="28" xfId="0" applyNumberFormat="1" applyFont="1" applyFill="1" applyBorder="1" applyAlignment="1">
      <alignment horizontal="left"/>
    </xf>
    <xf numFmtId="0" fontId="6" fillId="2" borderId="28" xfId="0" applyFont="1" applyFill="1" applyBorder="1"/>
    <xf numFmtId="0" fontId="6" fillId="2" borderId="29" xfId="0" applyFont="1" applyFill="1" applyBorder="1"/>
    <xf numFmtId="0" fontId="6" fillId="2" borderId="27" xfId="0" applyFont="1" applyFill="1" applyBorder="1" applyAlignment="1">
      <alignment horizontal="center"/>
    </xf>
    <xf numFmtId="164" fontId="6" fillId="2" borderId="27" xfId="1" applyFont="1" applyFill="1" applyBorder="1"/>
    <xf numFmtId="0" fontId="0" fillId="0" borderId="27" xfId="0" applyBorder="1"/>
    <xf numFmtId="168" fontId="0" fillId="0" borderId="27" xfId="0" applyNumberFormat="1" applyBorder="1" applyAlignment="1">
      <alignment horizontal="center"/>
    </xf>
    <xf numFmtId="168" fontId="0" fillId="0" borderId="28" xfId="0" applyNumberForma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164" fontId="0" fillId="0" borderId="27" xfId="1" applyFont="1" applyBorder="1"/>
    <xf numFmtId="0" fontId="0" fillId="3" borderId="27" xfId="0" applyFill="1" applyBorder="1"/>
    <xf numFmtId="167" fontId="0" fillId="3" borderId="27" xfId="0" applyNumberFormat="1" applyFill="1" applyBorder="1" applyAlignment="1">
      <alignment horizontal="center"/>
    </xf>
    <xf numFmtId="168" fontId="0" fillId="3" borderId="28" xfId="0" applyNumberForma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169" fontId="0" fillId="3" borderId="27" xfId="0" applyNumberFormat="1" applyFill="1" applyBorder="1" applyAlignment="1">
      <alignment horizontal="center"/>
    </xf>
    <xf numFmtId="164" fontId="0" fillId="3" borderId="27" xfId="1" applyFont="1" applyFill="1" applyBorder="1"/>
    <xf numFmtId="164" fontId="0" fillId="3" borderId="29" xfId="1" applyFont="1" applyFill="1" applyBorder="1" applyAlignment="1">
      <alignment horizontal="center"/>
    </xf>
    <xf numFmtId="0" fontId="0" fillId="3" borderId="27" xfId="1" applyNumberFormat="1" applyFont="1" applyFill="1" applyBorder="1"/>
    <xf numFmtId="0" fontId="16" fillId="3" borderId="27" xfId="13" applyFont="1" applyFill="1" applyBorder="1" applyAlignment="1">
      <alignment horizontal="center"/>
    </xf>
    <xf numFmtId="1" fontId="16" fillId="3" borderId="27" xfId="13" applyNumberFormat="1" applyFont="1" applyFill="1" applyBorder="1" applyAlignment="1">
      <alignment horizontal="center"/>
    </xf>
    <xf numFmtId="164" fontId="16" fillId="3" borderId="27" xfId="1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164" fontId="0" fillId="3" borderId="27" xfId="0" applyNumberFormat="1" applyFill="1" applyBorder="1"/>
    <xf numFmtId="167" fontId="0" fillId="0" borderId="27" xfId="0" applyNumberForma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164" fontId="0" fillId="0" borderId="29" xfId="1" applyFont="1" applyBorder="1" applyAlignment="1">
      <alignment horizontal="center"/>
    </xf>
    <xf numFmtId="0" fontId="0" fillId="0" borderId="27" xfId="1" applyNumberFormat="1" applyFont="1" applyBorder="1"/>
    <xf numFmtId="0" fontId="16" fillId="0" borderId="27" xfId="13" applyFont="1" applyBorder="1" applyAlignment="1">
      <alignment horizontal="center"/>
    </xf>
    <xf numFmtId="1" fontId="16" fillId="0" borderId="27" xfId="13" applyNumberFormat="1" applyFont="1" applyBorder="1" applyAlignment="1">
      <alignment horizontal="center"/>
    </xf>
    <xf numFmtId="164" fontId="16" fillId="0" borderId="27" xfId="1" applyFont="1" applyBorder="1" applyAlignment="1">
      <alignment horizontal="center"/>
    </xf>
    <xf numFmtId="164" fontId="0" fillId="0" borderId="27" xfId="0" applyNumberFormat="1" applyBorder="1"/>
    <xf numFmtId="0" fontId="8" fillId="0" borderId="27" xfId="0" applyFont="1" applyBorder="1"/>
    <xf numFmtId="167" fontId="8" fillId="0" borderId="27" xfId="0" applyNumberFormat="1" applyFont="1" applyBorder="1" applyAlignment="1">
      <alignment horizontal="center"/>
    </xf>
    <xf numFmtId="168" fontId="8" fillId="0" borderId="28" xfId="0" applyNumberFormat="1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169" fontId="8" fillId="0" borderId="27" xfId="0" applyNumberFormat="1" applyFont="1" applyBorder="1" applyAlignment="1">
      <alignment horizontal="center"/>
    </xf>
    <xf numFmtId="164" fontId="8" fillId="0" borderId="27" xfId="1" applyFont="1" applyBorder="1"/>
    <xf numFmtId="164" fontId="8" fillId="0" borderId="29" xfId="1" applyFont="1" applyBorder="1" applyAlignment="1">
      <alignment horizontal="center"/>
    </xf>
    <xf numFmtId="0" fontId="8" fillId="0" borderId="27" xfId="1" applyNumberFormat="1" applyFont="1" applyBorder="1"/>
    <xf numFmtId="0" fontId="8" fillId="0" borderId="27" xfId="13" applyFont="1" applyBorder="1" applyAlignment="1">
      <alignment horizontal="center"/>
    </xf>
    <xf numFmtId="1" fontId="8" fillId="0" borderId="27" xfId="13" applyNumberFormat="1" applyFont="1" applyBorder="1" applyAlignment="1">
      <alignment horizontal="center"/>
    </xf>
    <xf numFmtId="164" fontId="8" fillId="0" borderId="27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64" fontId="8" fillId="0" borderId="27" xfId="0" applyNumberFormat="1" applyFont="1" applyBorder="1"/>
    <xf numFmtId="0" fontId="8" fillId="0" borderId="15" xfId="0" applyFont="1" applyBorder="1"/>
    <xf numFmtId="0" fontId="6" fillId="0" borderId="27" xfId="0" applyFont="1" applyBorder="1"/>
    <xf numFmtId="167" fontId="6" fillId="0" borderId="27" xfId="0" applyNumberFormat="1" applyFont="1" applyBorder="1" applyAlignment="1">
      <alignment horizontal="center"/>
    </xf>
    <xf numFmtId="168" fontId="6" fillId="0" borderId="28" xfId="0" applyNumberFormat="1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169" fontId="6" fillId="0" borderId="27" xfId="0" applyNumberFormat="1" applyFont="1" applyBorder="1" applyAlignment="1">
      <alignment horizontal="center"/>
    </xf>
    <xf numFmtId="164" fontId="6" fillId="0" borderId="27" xfId="1" applyFont="1" applyBorder="1"/>
    <xf numFmtId="164" fontId="6" fillId="0" borderId="29" xfId="1" applyFont="1" applyBorder="1" applyAlignment="1">
      <alignment horizontal="center"/>
    </xf>
    <xf numFmtId="0" fontId="6" fillId="0" borderId="27" xfId="1" applyNumberFormat="1" applyFont="1" applyBorder="1"/>
    <xf numFmtId="0" fontId="4" fillId="0" borderId="27" xfId="13" applyFont="1" applyBorder="1" applyAlignment="1">
      <alignment horizontal="center"/>
    </xf>
    <xf numFmtId="1" fontId="4" fillId="0" borderId="27" xfId="13" applyNumberFormat="1" applyFont="1" applyBorder="1" applyAlignment="1">
      <alignment horizontal="center"/>
    </xf>
    <xf numFmtId="164" fontId="4" fillId="0" borderId="27" xfId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164" fontId="6" fillId="0" borderId="27" xfId="0" applyNumberFormat="1" applyFont="1" applyBorder="1"/>
    <xf numFmtId="0" fontId="0" fillId="4" borderId="27" xfId="0" applyFill="1" applyBorder="1"/>
    <xf numFmtId="167" fontId="0" fillId="4" borderId="27" xfId="0" applyNumberFormat="1" applyFill="1" applyBorder="1" applyAlignment="1">
      <alignment horizontal="center"/>
    </xf>
    <xf numFmtId="168" fontId="0" fillId="4" borderId="28" xfId="0" applyNumberFormat="1" applyFill="1" applyBorder="1" applyAlignment="1">
      <alignment horizontal="center"/>
    </xf>
    <xf numFmtId="0" fontId="0" fillId="4" borderId="28" xfId="0" applyFill="1" applyBorder="1"/>
    <xf numFmtId="0" fontId="0" fillId="4" borderId="29" xfId="0" applyFill="1" applyBorder="1"/>
    <xf numFmtId="169" fontId="0" fillId="4" borderId="27" xfId="0" applyNumberFormat="1" applyFill="1" applyBorder="1" applyAlignment="1">
      <alignment horizontal="center"/>
    </xf>
    <xf numFmtId="164" fontId="0" fillId="4" borderId="27" xfId="1" applyFont="1" applyFill="1" applyBorder="1"/>
    <xf numFmtId="164" fontId="0" fillId="4" borderId="29" xfId="1" applyFont="1" applyFill="1" applyBorder="1" applyAlignment="1">
      <alignment horizontal="center"/>
    </xf>
    <xf numFmtId="0" fontId="0" fillId="4" borderId="27" xfId="1" applyNumberFormat="1" applyFont="1" applyFill="1" applyBorder="1"/>
    <xf numFmtId="0" fontId="16" fillId="4" borderId="27" xfId="13" applyFont="1" applyFill="1" applyBorder="1" applyAlignment="1">
      <alignment horizontal="center"/>
    </xf>
    <xf numFmtId="1" fontId="16" fillId="4" borderId="27" xfId="13" applyNumberFormat="1" applyFont="1" applyFill="1" applyBorder="1" applyAlignment="1">
      <alignment horizontal="center"/>
    </xf>
    <xf numFmtId="164" fontId="16" fillId="4" borderId="27" xfId="1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164" fontId="0" fillId="4" borderId="27" xfId="0" applyNumberFormat="1" applyFill="1" applyBorder="1"/>
    <xf numFmtId="0" fontId="0" fillId="0" borderId="30" xfId="0" applyBorder="1"/>
    <xf numFmtId="167" fontId="0" fillId="0" borderId="30" xfId="0" applyNumberFormat="1" applyBorder="1" applyAlignment="1">
      <alignment horizontal="center"/>
    </xf>
    <xf numFmtId="168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2" xfId="0" applyBorder="1"/>
    <xf numFmtId="9" fontId="0" fillId="0" borderId="30" xfId="0" applyNumberFormat="1" applyBorder="1" applyAlignment="1">
      <alignment horizontal="center"/>
    </xf>
    <xf numFmtId="164" fontId="0" fillId="0" borderId="30" xfId="1" applyFont="1" applyBorder="1"/>
    <xf numFmtId="164" fontId="0" fillId="0" borderId="32" xfId="1" applyFont="1" applyBorder="1" applyAlignment="1">
      <alignment horizontal="center"/>
    </xf>
    <xf numFmtId="0" fontId="0" fillId="0" borderId="30" xfId="1" applyNumberFormat="1" applyFont="1" applyBorder="1"/>
    <xf numFmtId="0" fontId="16" fillId="0" borderId="30" xfId="13" applyFont="1" applyBorder="1" applyAlignment="1">
      <alignment horizontal="center"/>
    </xf>
    <xf numFmtId="1" fontId="16" fillId="0" borderId="30" xfId="13" applyNumberFormat="1" applyFont="1" applyBorder="1" applyAlignment="1">
      <alignment horizontal="center"/>
    </xf>
    <xf numFmtId="164" fontId="16" fillId="0" borderId="30" xfId="1" applyFont="1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0" xfId="0" applyNumberFormat="1" applyBorder="1"/>
    <xf numFmtId="164" fontId="2" fillId="0" borderId="30" xfId="1" applyFont="1" applyBorder="1"/>
    <xf numFmtId="167" fontId="6" fillId="0" borderId="3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/>
    </xf>
    <xf numFmtId="164" fontId="6" fillId="0" borderId="3" xfId="1" applyFont="1" applyBorder="1"/>
    <xf numFmtId="164" fontId="6" fillId="0" borderId="4" xfId="1" applyFont="1" applyBorder="1" applyAlignment="1">
      <alignment horizontal="center"/>
    </xf>
    <xf numFmtId="0" fontId="6" fillId="0" borderId="3" xfId="1" applyNumberFormat="1" applyFont="1" applyBorder="1"/>
    <xf numFmtId="0" fontId="4" fillId="0" borderId="3" xfId="13" applyFont="1" applyBorder="1" applyAlignment="1">
      <alignment horizontal="center"/>
    </xf>
    <xf numFmtId="1" fontId="4" fillId="0" borderId="3" xfId="13" applyNumberFormat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1" applyNumberFormat="1" applyFont="1"/>
    <xf numFmtId="0" fontId="16" fillId="0" borderId="0" xfId="13" applyFont="1" applyAlignment="1">
      <alignment horizontal="center"/>
    </xf>
    <xf numFmtId="1" fontId="16" fillId="0" borderId="0" xfId="13" applyNumberFormat="1" applyFont="1" applyAlignment="1">
      <alignment horizontal="center"/>
    </xf>
    <xf numFmtId="164" fontId="16" fillId="0" borderId="0" xfId="1" applyFont="1" applyAlignment="1">
      <alignment horizontal="center"/>
    </xf>
    <xf numFmtId="164" fontId="0" fillId="0" borderId="0" xfId="0" applyNumberFormat="1"/>
    <xf numFmtId="168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6" fillId="0" borderId="0" xfId="1" applyFont="1"/>
    <xf numFmtId="164" fontId="0" fillId="0" borderId="11" xfId="0" applyNumberFormat="1" applyBorder="1"/>
    <xf numFmtId="164" fontId="0" fillId="0" borderId="3" xfId="0" applyNumberFormat="1" applyBorder="1"/>
    <xf numFmtId="167" fontId="0" fillId="0" borderId="0" xfId="0" applyNumberFormat="1" applyAlignment="1">
      <alignment horizontal="center"/>
    </xf>
    <xf numFmtId="167" fontId="4" fillId="0" borderId="18" xfId="2" applyNumberFormat="1" applyFont="1" applyBorder="1"/>
    <xf numFmtId="167" fontId="4" fillId="0" borderId="0" xfId="2" applyNumberFormat="1" applyFont="1"/>
    <xf numFmtId="167" fontId="4" fillId="0" borderId="5" xfId="2" applyNumberFormat="1" applyFont="1" applyBorder="1"/>
    <xf numFmtId="167" fontId="0" fillId="0" borderId="23" xfId="0" applyNumberFormat="1" applyBorder="1" applyAlignment="1">
      <alignment horizontal="center"/>
    </xf>
    <xf numFmtId="167" fontId="6" fillId="2" borderId="27" xfId="0" applyNumberFormat="1" applyFont="1" applyFill="1" applyBorder="1" applyAlignment="1">
      <alignment horizontal="left"/>
    </xf>
    <xf numFmtId="164" fontId="0" fillId="3" borderId="29" xfId="1" applyFont="1" applyFill="1" applyBorder="1"/>
    <xf numFmtId="164" fontId="0" fillId="0" borderId="29" xfId="1" applyFont="1" applyBorder="1"/>
    <xf numFmtId="164" fontId="8" fillId="0" borderId="29" xfId="1" applyFont="1" applyBorder="1"/>
    <xf numFmtId="164" fontId="0" fillId="0" borderId="32" xfId="1" applyFont="1" applyBorder="1"/>
    <xf numFmtId="164" fontId="6" fillId="0" borderId="4" xfId="1" applyFont="1" applyBorder="1"/>
    <xf numFmtId="164" fontId="6" fillId="0" borderId="0" xfId="1" applyFont="1" applyAlignment="1">
      <alignment horizontal="left"/>
    </xf>
    <xf numFmtId="164" fontId="17" fillId="0" borderId="0" xfId="1" applyFont="1"/>
    <xf numFmtId="167" fontId="0" fillId="0" borderId="0" xfId="0" applyNumberFormat="1"/>
    <xf numFmtId="164" fontId="6" fillId="6" borderId="3" xfId="1" applyFont="1" applyFill="1" applyBorder="1"/>
    <xf numFmtId="164" fontId="0" fillId="7" borderId="27" xfId="0" applyNumberFormat="1" applyFill="1" applyBorder="1"/>
    <xf numFmtId="0" fontId="18" fillId="7" borderId="27" xfId="0" applyFont="1" applyFill="1" applyBorder="1" applyAlignment="1">
      <alignment horizontal="center"/>
    </xf>
    <xf numFmtId="0" fontId="0" fillId="6" borderId="0" xfId="0" applyFill="1"/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/>
    <xf numFmtId="0" fontId="6" fillId="0" borderId="33" xfId="0" applyFont="1" applyBorder="1"/>
    <xf numFmtId="0" fontId="0" fillId="0" borderId="33" xfId="0" applyBorder="1"/>
    <xf numFmtId="164" fontId="0" fillId="6" borderId="33" xfId="0" applyNumberFormat="1" applyFill="1" applyBorder="1"/>
    <xf numFmtId="164" fontId="0" fillId="0" borderId="33" xfId="0" applyNumberFormat="1" applyBorder="1"/>
    <xf numFmtId="0" fontId="0" fillId="0" borderId="34" xfId="0" applyBorder="1"/>
    <xf numFmtId="164" fontId="6" fillId="0" borderId="3" xfId="0" applyNumberFormat="1" applyFont="1" applyBorder="1"/>
    <xf numFmtId="0" fontId="6" fillId="2" borderId="33" xfId="0" applyFont="1" applyFill="1" applyBorder="1"/>
    <xf numFmtId="164" fontId="6" fillId="6" borderId="3" xfId="0" applyNumberFormat="1" applyFont="1" applyFill="1" applyBorder="1"/>
    <xf numFmtId="0" fontId="6" fillId="2" borderId="0" xfId="0" applyFont="1" applyFill="1"/>
    <xf numFmtId="0" fontId="8" fillId="0" borderId="30" xfId="0" applyFont="1" applyBorder="1"/>
    <xf numFmtId="167" fontId="8" fillId="0" borderId="30" xfId="0" applyNumberFormat="1" applyFont="1" applyBorder="1" applyAlignment="1">
      <alignment horizontal="center"/>
    </xf>
    <xf numFmtId="168" fontId="8" fillId="0" borderId="31" xfId="0" applyNumberFormat="1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169" fontId="8" fillId="0" borderId="30" xfId="0" applyNumberFormat="1" applyFont="1" applyBorder="1" applyAlignment="1">
      <alignment horizontal="center"/>
    </xf>
    <xf numFmtId="164" fontId="8" fillId="0" borderId="30" xfId="1" applyFont="1" applyBorder="1"/>
    <xf numFmtId="164" fontId="8" fillId="0" borderId="32" xfId="1" applyFont="1" applyBorder="1"/>
    <xf numFmtId="164" fontId="8" fillId="0" borderId="32" xfId="1" applyFont="1" applyBorder="1" applyAlignment="1">
      <alignment horizontal="center"/>
    </xf>
    <xf numFmtId="0" fontId="8" fillId="0" borderId="30" xfId="1" applyNumberFormat="1" applyFont="1" applyBorder="1"/>
    <xf numFmtId="0" fontId="8" fillId="0" borderId="30" xfId="13" applyFont="1" applyBorder="1" applyAlignment="1">
      <alignment horizontal="center"/>
    </xf>
    <xf numFmtId="1" fontId="8" fillId="0" borderId="30" xfId="13" applyNumberFormat="1" applyFont="1" applyBorder="1" applyAlignment="1">
      <alignment horizontal="center"/>
    </xf>
    <xf numFmtId="164" fontId="8" fillId="0" borderId="30" xfId="1" applyFont="1" applyBorder="1" applyAlignment="1">
      <alignment horizontal="center"/>
    </xf>
    <xf numFmtId="164" fontId="8" fillId="0" borderId="30" xfId="0" applyNumberFormat="1" applyFont="1" applyBorder="1"/>
    <xf numFmtId="0" fontId="18" fillId="7" borderId="30" xfId="0" applyFont="1" applyFill="1" applyBorder="1" applyAlignment="1">
      <alignment horizontal="center"/>
    </xf>
    <xf numFmtId="164" fontId="0" fillId="6" borderId="0" xfId="0" applyNumberFormat="1" applyFill="1"/>
    <xf numFmtId="164" fontId="6" fillId="0" borderId="0" xfId="0" applyNumberFormat="1" applyFont="1"/>
    <xf numFmtId="164" fontId="0" fillId="7" borderId="0" xfId="0" applyNumberFormat="1" applyFill="1"/>
    <xf numFmtId="164" fontId="6" fillId="8" borderId="3" xfId="0" applyNumberFormat="1" applyFont="1" applyFill="1" applyBorder="1"/>
    <xf numFmtId="164" fontId="6" fillId="6" borderId="35" xfId="0" applyNumberFormat="1" applyFont="1" applyFill="1" applyBorder="1"/>
    <xf numFmtId="164" fontId="6" fillId="0" borderId="35" xfId="0" applyNumberFormat="1" applyFont="1" applyBorder="1"/>
    <xf numFmtId="164" fontId="6" fillId="8" borderId="3" xfId="1" applyFont="1" applyFill="1" applyBorder="1"/>
    <xf numFmtId="0" fontId="8" fillId="0" borderId="28" xfId="0" applyFont="1" applyBorder="1" applyAlignment="1">
      <alignment horizontal="center"/>
    </xf>
    <xf numFmtId="164" fontId="8" fillId="0" borderId="23" xfId="0" applyNumberFormat="1" applyFont="1" applyBorder="1"/>
    <xf numFmtId="164" fontId="0" fillId="3" borderId="27" xfId="1" applyFont="1" applyFill="1" applyBorder="1" applyAlignment="1">
      <alignment horizontal="center" vertical="center"/>
    </xf>
    <xf numFmtId="164" fontId="8" fillId="7" borderId="30" xfId="0" applyNumberFormat="1" applyFont="1" applyFill="1" applyBorder="1"/>
    <xf numFmtId="164" fontId="6" fillId="7" borderId="3" xfId="1" applyFont="1" applyFill="1" applyBorder="1"/>
    <xf numFmtId="0" fontId="0" fillId="7" borderId="33" xfId="0" applyFill="1" applyBorder="1"/>
    <xf numFmtId="0" fontId="6" fillId="7" borderId="33" xfId="0" applyFont="1" applyFill="1" applyBorder="1"/>
    <xf numFmtId="164" fontId="0" fillId="7" borderId="27" xfId="1" applyFont="1" applyFill="1" applyBorder="1"/>
    <xf numFmtId="167" fontId="18" fillId="0" borderId="27" xfId="0" applyNumberFormat="1" applyFont="1" applyBorder="1" applyAlignment="1">
      <alignment horizontal="center"/>
    </xf>
    <xf numFmtId="0" fontId="18" fillId="0" borderId="28" xfId="0" applyFont="1" applyBorder="1"/>
    <xf numFmtId="0" fontId="18" fillId="0" borderId="29" xfId="0" applyFont="1" applyBorder="1"/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4" fontId="6" fillId="0" borderId="33" xfId="0" applyNumberFormat="1" applyFont="1" applyBorder="1"/>
    <xf numFmtId="164" fontId="20" fillId="0" borderId="33" xfId="0" applyNumberFormat="1" applyFont="1" applyBorder="1"/>
    <xf numFmtId="164" fontId="6" fillId="11" borderId="33" xfId="0" applyNumberFormat="1" applyFont="1" applyFill="1" applyBorder="1"/>
    <xf numFmtId="164" fontId="19" fillId="11" borderId="33" xfId="0" applyNumberFormat="1" applyFont="1" applyFill="1" applyBorder="1"/>
    <xf numFmtId="0" fontId="6" fillId="0" borderId="33" xfId="0" applyFont="1" applyBorder="1" applyAlignment="1">
      <alignment horizontal="center"/>
    </xf>
    <xf numFmtId="164" fontId="6" fillId="6" borderId="27" xfId="1" applyFont="1" applyFill="1" applyBorder="1"/>
    <xf numFmtId="164" fontId="6" fillId="7" borderId="3" xfId="0" applyNumberFormat="1" applyFont="1" applyFill="1" applyBorder="1"/>
    <xf numFmtId="164" fontId="6" fillId="7" borderId="27" xfId="1" applyFont="1" applyFill="1" applyBorder="1"/>
    <xf numFmtId="164" fontId="0" fillId="0" borderId="15" xfId="1" applyFont="1" applyBorder="1"/>
    <xf numFmtId="164" fontId="0" fillId="0" borderId="15" xfId="0" applyNumberFormat="1" applyBorder="1"/>
    <xf numFmtId="164" fontId="6" fillId="7" borderId="33" xfId="1" applyFont="1" applyFill="1" applyBorder="1"/>
    <xf numFmtId="164" fontId="8" fillId="0" borderId="33" xfId="1" applyFont="1" applyBorder="1"/>
    <xf numFmtId="164" fontId="8" fillId="0" borderId="23" xfId="1" applyFont="1" applyBorder="1"/>
    <xf numFmtId="167" fontId="2" fillId="0" borderId="27" xfId="0" applyNumberFormat="1" applyFont="1" applyBorder="1" applyAlignment="1">
      <alignment horizontal="center"/>
    </xf>
    <xf numFmtId="168" fontId="2" fillId="0" borderId="28" xfId="0" applyNumberFormat="1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169" fontId="2" fillId="0" borderId="27" xfId="0" applyNumberFormat="1" applyFont="1" applyBorder="1" applyAlignment="1">
      <alignment horizontal="center"/>
    </xf>
    <xf numFmtId="164" fontId="2" fillId="0" borderId="27" xfId="1" applyFont="1" applyBorder="1"/>
    <xf numFmtId="164" fontId="2" fillId="0" borderId="29" xfId="1" applyFont="1" applyBorder="1" applyAlignment="1">
      <alignment horizontal="center"/>
    </xf>
    <xf numFmtId="0" fontId="2" fillId="0" borderId="27" xfId="1" applyNumberFormat="1" applyFont="1" applyBorder="1"/>
    <xf numFmtId="0" fontId="2" fillId="0" borderId="27" xfId="13" applyFont="1" applyBorder="1" applyAlignment="1">
      <alignment horizontal="center"/>
    </xf>
    <xf numFmtId="1" fontId="2" fillId="0" borderId="27" xfId="13" applyNumberFormat="1" applyFont="1" applyBorder="1" applyAlignment="1">
      <alignment horizontal="center"/>
    </xf>
    <xf numFmtId="164" fontId="2" fillId="0" borderId="27" xfId="0" applyNumberFormat="1" applyFont="1" applyBorder="1"/>
    <xf numFmtId="168" fontId="0" fillId="0" borderId="28" xfId="0" quotePrefix="1" applyNumberFormat="1" applyBorder="1" applyAlignment="1">
      <alignment horizontal="center"/>
    </xf>
    <xf numFmtId="0" fontId="0" fillId="0" borderId="27" xfId="13" applyFont="1" applyBorder="1" applyAlignment="1">
      <alignment horizontal="center"/>
    </xf>
    <xf numFmtId="1" fontId="0" fillId="0" borderId="27" xfId="13" applyNumberFormat="1" applyFont="1" applyBorder="1" applyAlignment="1">
      <alignment horizontal="center"/>
    </xf>
    <xf numFmtId="164" fontId="0" fillId="6" borderId="15" xfId="1" applyFont="1" applyFill="1" applyBorder="1"/>
    <xf numFmtId="164" fontId="6" fillId="6" borderId="33" xfId="1" applyFont="1" applyFill="1" applyBorder="1"/>
    <xf numFmtId="168" fontId="2" fillId="0" borderId="28" xfId="0" quotePrefix="1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6" fillId="2" borderId="15" xfId="1" applyFont="1" applyFill="1" applyBorder="1"/>
    <xf numFmtId="164" fontId="6" fillId="0" borderId="15" xfId="1" applyFont="1" applyBorder="1"/>
    <xf numFmtId="15" fontId="6" fillId="0" borderId="0" xfId="0" applyNumberFormat="1" applyFont="1" applyAlignment="1">
      <alignment horizontal="center"/>
    </xf>
    <xf numFmtId="164" fontId="6" fillId="2" borderId="0" xfId="1" applyFont="1" applyFill="1" applyBorder="1"/>
    <xf numFmtId="164" fontId="8" fillId="0" borderId="0" xfId="0" applyNumberFormat="1" applyFont="1"/>
    <xf numFmtId="164" fontId="0" fillId="0" borderId="36" xfId="0" applyNumberFormat="1" applyBorder="1"/>
    <xf numFmtId="164" fontId="6" fillId="7" borderId="36" xfId="1" applyFont="1" applyFill="1" applyBorder="1"/>
    <xf numFmtId="164" fontId="8" fillId="0" borderId="36" xfId="1" applyFont="1" applyBorder="1"/>
    <xf numFmtId="0" fontId="21" fillId="0" borderId="0" xfId="0" applyFont="1" applyAlignment="1">
      <alignment horizontal="center"/>
    </xf>
    <xf numFmtId="164" fontId="8" fillId="0" borderId="34" xfId="1" applyFont="1" applyBorder="1"/>
    <xf numFmtId="164" fontId="8" fillId="0" borderId="38" xfId="1" applyFont="1" applyBorder="1"/>
    <xf numFmtId="164" fontId="8" fillId="0" borderId="37" xfId="1" applyFont="1" applyBorder="1"/>
    <xf numFmtId="164" fontId="8" fillId="0" borderId="39" xfId="1" applyFont="1" applyBorder="1"/>
    <xf numFmtId="164" fontId="8" fillId="0" borderId="28" xfId="0" applyNumberFormat="1" applyFont="1" applyBorder="1"/>
    <xf numFmtId="0" fontId="8" fillId="0" borderId="36" xfId="0" applyFont="1" applyBorder="1"/>
    <xf numFmtId="0" fontId="8" fillId="0" borderId="40" xfId="0" applyFont="1" applyBorder="1"/>
    <xf numFmtId="0" fontId="8" fillId="0" borderId="33" xfId="0" applyFont="1" applyBorder="1"/>
    <xf numFmtId="164" fontId="6" fillId="7" borderId="29" xfId="1" applyFont="1" applyFill="1" applyBorder="1"/>
    <xf numFmtId="164" fontId="8" fillId="0" borderId="41" xfId="1" applyFont="1" applyBorder="1"/>
    <xf numFmtId="164" fontId="6" fillId="6" borderId="29" xfId="1" applyFont="1" applyFill="1" applyBorder="1"/>
    <xf numFmtId="0" fontId="0" fillId="7" borderId="0" xfId="0" applyFill="1"/>
    <xf numFmtId="164" fontId="0" fillId="7" borderId="27" xfId="1" applyFont="1" applyFill="1" applyBorder="1" applyAlignment="1">
      <alignment horizontal="center" vertical="center"/>
    </xf>
    <xf numFmtId="0" fontId="0" fillId="0" borderId="31" xfId="0" applyBorder="1"/>
    <xf numFmtId="169" fontId="0" fillId="0" borderId="30" xfId="0" applyNumberFormat="1" applyBorder="1" applyAlignment="1">
      <alignment horizontal="center"/>
    </xf>
    <xf numFmtId="164" fontId="6" fillId="0" borderId="30" xfId="1" applyFont="1" applyBorder="1"/>
    <xf numFmtId="164" fontId="2" fillId="0" borderId="23" xfId="1" applyFont="1" applyBorder="1"/>
    <xf numFmtId="164" fontId="0" fillId="0" borderId="27" xfId="1" applyFont="1" applyBorder="1" applyAlignment="1">
      <alignment horizontal="center" vertical="center"/>
    </xf>
    <xf numFmtId="164" fontId="0" fillId="12" borderId="0" xfId="1" applyFont="1" applyFill="1"/>
    <xf numFmtId="164" fontId="6" fillId="4" borderId="0" xfId="1" applyFont="1" applyFill="1"/>
    <xf numFmtId="164" fontId="6" fillId="12" borderId="0" xfId="1" applyFont="1" applyFill="1"/>
    <xf numFmtId="37" fontId="6" fillId="0" borderId="0" xfId="0" applyNumberFormat="1" applyFont="1"/>
    <xf numFmtId="164" fontId="2" fillId="0" borderId="15" xfId="1" applyFont="1" applyBorder="1"/>
    <xf numFmtId="164" fontId="8" fillId="0" borderId="24" xfId="0" applyNumberFormat="1" applyFont="1" applyBorder="1"/>
    <xf numFmtId="0" fontId="0" fillId="12" borderId="28" xfId="0" applyFill="1" applyBorder="1"/>
    <xf numFmtId="0" fontId="0" fillId="12" borderId="29" xfId="0" applyFill="1" applyBorder="1"/>
    <xf numFmtId="164" fontId="0" fillId="12" borderId="27" xfId="1" applyFont="1" applyFill="1" applyBorder="1"/>
    <xf numFmtId="0" fontId="0" fillId="12" borderId="27" xfId="0" applyFill="1" applyBorder="1" applyAlignment="1">
      <alignment horizontal="center"/>
    </xf>
    <xf numFmtId="164" fontId="0" fillId="12" borderId="27" xfId="0" applyNumberFormat="1" applyFill="1" applyBorder="1"/>
    <xf numFmtId="164" fontId="6" fillId="7" borderId="0" xfId="1" applyFont="1" applyFill="1"/>
    <xf numFmtId="164" fontId="6" fillId="10" borderId="0" xfId="0" applyNumberFormat="1" applyFont="1" applyFill="1"/>
    <xf numFmtId="164" fontId="6" fillId="5" borderId="0" xfId="0" applyNumberFormat="1" applyFont="1" applyFill="1"/>
    <xf numFmtId="164" fontId="6" fillId="13" borderId="0" xfId="0" applyNumberFormat="1" applyFont="1" applyFill="1"/>
    <xf numFmtId="164" fontId="6" fillId="8" borderId="0" xfId="0" applyNumberFormat="1" applyFont="1" applyFill="1"/>
    <xf numFmtId="170" fontId="0" fillId="0" borderId="27" xfId="0" applyNumberFormat="1" applyBorder="1" applyAlignment="1">
      <alignment horizontal="right"/>
    </xf>
    <xf numFmtId="164" fontId="0" fillId="7" borderId="15" xfId="1" applyFont="1" applyFill="1" applyBorder="1"/>
    <xf numFmtId="164" fontId="6" fillId="7" borderId="35" xfId="0" applyNumberFormat="1" applyFont="1" applyFill="1" applyBorder="1"/>
    <xf numFmtId="164" fontId="8" fillId="0" borderId="15" xfId="1" applyFont="1" applyBorder="1"/>
    <xf numFmtId="167" fontId="0" fillId="7" borderId="27" xfId="0" applyNumberFormat="1" applyFill="1" applyBorder="1" applyAlignment="1">
      <alignment horizontal="center"/>
    </xf>
    <xf numFmtId="167" fontId="0" fillId="9" borderId="27" xfId="0" applyNumberFormat="1" applyFill="1" applyBorder="1" applyAlignment="1">
      <alignment horizontal="center"/>
    </xf>
    <xf numFmtId="168" fontId="0" fillId="9" borderId="28" xfId="0" applyNumberFormat="1" applyFill="1" applyBorder="1" applyAlignment="1">
      <alignment horizontal="center"/>
    </xf>
    <xf numFmtId="0" fontId="0" fillId="9" borderId="28" xfId="0" applyFill="1" applyBorder="1"/>
    <xf numFmtId="0" fontId="0" fillId="9" borderId="29" xfId="0" applyFill="1" applyBorder="1"/>
    <xf numFmtId="169" fontId="0" fillId="9" borderId="27" xfId="0" applyNumberFormat="1" applyFill="1" applyBorder="1" applyAlignment="1">
      <alignment horizontal="center"/>
    </xf>
    <xf numFmtId="164" fontId="0" fillId="9" borderId="27" xfId="1" applyFont="1" applyFill="1" applyBorder="1"/>
    <xf numFmtId="164" fontId="0" fillId="9" borderId="29" xfId="1" applyFont="1" applyFill="1" applyBorder="1" applyAlignment="1">
      <alignment horizontal="center"/>
    </xf>
    <xf numFmtId="0" fontId="0" fillId="9" borderId="27" xfId="1" applyNumberFormat="1" applyFont="1" applyFill="1" applyBorder="1"/>
    <xf numFmtId="0" fontId="16" fillId="9" borderId="27" xfId="13" applyFont="1" applyFill="1" applyBorder="1" applyAlignment="1">
      <alignment horizontal="center"/>
    </xf>
    <xf numFmtId="1" fontId="16" fillId="9" borderId="27" xfId="13" applyNumberFormat="1" applyFont="1" applyFill="1" applyBorder="1" applyAlignment="1">
      <alignment horizontal="center"/>
    </xf>
    <xf numFmtId="164" fontId="16" fillId="9" borderId="27" xfId="1" applyFont="1" applyFill="1" applyBorder="1" applyAlignment="1">
      <alignment horizontal="center"/>
    </xf>
    <xf numFmtId="164" fontId="0" fillId="9" borderId="27" xfId="1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/>
    </xf>
    <xf numFmtId="164" fontId="0" fillId="9" borderId="27" xfId="0" applyNumberFormat="1" applyFill="1" applyBorder="1"/>
    <xf numFmtId="164" fontId="0" fillId="9" borderId="0" xfId="1" applyFont="1" applyFill="1"/>
    <xf numFmtId="164" fontId="6" fillId="8" borderId="42" xfId="1" applyFont="1" applyFill="1" applyBorder="1"/>
    <xf numFmtId="169" fontId="8" fillId="0" borderId="29" xfId="0" applyNumberFormat="1" applyFont="1" applyBorder="1" applyAlignment="1">
      <alignment horizontal="center"/>
    </xf>
    <xf numFmtId="0" fontId="0" fillId="7" borderId="34" xfId="0" applyFill="1" applyBorder="1"/>
    <xf numFmtId="164" fontId="0" fillId="7" borderId="33" xfId="0" applyNumberFormat="1" applyFill="1" applyBorder="1"/>
    <xf numFmtId="0" fontId="6" fillId="0" borderId="3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9" borderId="28" xfId="0" applyFill="1" applyBorder="1" applyAlignment="1">
      <alignment horizontal="left" vertical="center"/>
    </xf>
    <xf numFmtId="168" fontId="0" fillId="7" borderId="28" xfId="0" quotePrefix="1" applyNumberFormat="1" applyFill="1" applyBorder="1" applyAlignment="1">
      <alignment horizontal="center"/>
    </xf>
    <xf numFmtId="0" fontId="0" fillId="7" borderId="28" xfId="0" applyFill="1" applyBorder="1"/>
    <xf numFmtId="0" fontId="0" fillId="7" borderId="29" xfId="0" applyFill="1" applyBorder="1"/>
    <xf numFmtId="169" fontId="0" fillId="7" borderId="27" xfId="0" applyNumberFormat="1" applyFill="1" applyBorder="1" applyAlignment="1">
      <alignment horizontal="center"/>
    </xf>
    <xf numFmtId="164" fontId="0" fillId="7" borderId="29" xfId="1" applyFont="1" applyFill="1" applyBorder="1" applyAlignment="1">
      <alignment horizontal="center"/>
    </xf>
    <xf numFmtId="0" fontId="0" fillId="7" borderId="27" xfId="1" applyNumberFormat="1" applyFont="1" applyFill="1" applyBorder="1"/>
    <xf numFmtId="0" fontId="0" fillId="7" borderId="27" xfId="13" applyFont="1" applyFill="1" applyBorder="1" applyAlignment="1">
      <alignment horizontal="center"/>
    </xf>
    <xf numFmtId="1" fontId="0" fillId="7" borderId="27" xfId="13" applyNumberFormat="1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15" xfId="0" applyFill="1" applyBorder="1"/>
    <xf numFmtId="168" fontId="0" fillId="7" borderId="28" xfId="0" applyNumberFormat="1" applyFill="1" applyBorder="1" applyAlignment="1">
      <alignment horizontal="center"/>
    </xf>
    <xf numFmtId="0" fontId="16" fillId="7" borderId="27" xfId="13" applyFont="1" applyFill="1" applyBorder="1" applyAlignment="1">
      <alignment horizontal="center"/>
    </xf>
    <xf numFmtId="1" fontId="16" fillId="7" borderId="27" xfId="13" applyNumberFormat="1" applyFont="1" applyFill="1" applyBorder="1" applyAlignment="1">
      <alignment horizontal="center"/>
    </xf>
    <xf numFmtId="164" fontId="6" fillId="7" borderId="15" xfId="1" applyFont="1" applyFill="1" applyBorder="1"/>
    <xf numFmtId="0" fontId="0" fillId="0" borderId="0" xfId="0" applyBorder="1"/>
    <xf numFmtId="164" fontId="6" fillId="8" borderId="0" xfId="1" applyFont="1" applyFill="1" applyBorder="1"/>
    <xf numFmtId="164" fontId="6" fillId="8" borderId="35" xfId="1" applyFont="1" applyFill="1" applyBorder="1"/>
    <xf numFmtId="167" fontId="0" fillId="14" borderId="27" xfId="0" applyNumberFormat="1" applyFill="1" applyBorder="1" applyAlignment="1">
      <alignment horizontal="center"/>
    </xf>
    <xf numFmtId="168" fontId="0" fillId="14" borderId="28" xfId="0" applyNumberFormat="1" applyFill="1" applyBorder="1" applyAlignment="1">
      <alignment horizontal="center"/>
    </xf>
    <xf numFmtId="0" fontId="0" fillId="14" borderId="28" xfId="0" applyFill="1" applyBorder="1"/>
    <xf numFmtId="0" fontId="0" fillId="14" borderId="29" xfId="0" applyFill="1" applyBorder="1"/>
    <xf numFmtId="169" fontId="0" fillId="14" borderId="27" xfId="0" applyNumberFormat="1" applyFill="1" applyBorder="1" applyAlignment="1">
      <alignment horizontal="center"/>
    </xf>
    <xf numFmtId="164" fontId="0" fillId="14" borderId="27" xfId="1" applyFont="1" applyFill="1" applyBorder="1"/>
    <xf numFmtId="164" fontId="0" fillId="14" borderId="29" xfId="1" applyFont="1" applyFill="1" applyBorder="1" applyAlignment="1">
      <alignment horizontal="center"/>
    </xf>
    <xf numFmtId="0" fontId="0" fillId="14" borderId="27" xfId="1" applyNumberFormat="1" applyFont="1" applyFill="1" applyBorder="1"/>
    <xf numFmtId="0" fontId="16" fillId="14" borderId="27" xfId="13" applyFont="1" applyFill="1" applyBorder="1" applyAlignment="1">
      <alignment horizontal="center"/>
    </xf>
    <xf numFmtId="1" fontId="16" fillId="14" borderId="27" xfId="13" applyNumberFormat="1" applyFont="1" applyFill="1" applyBorder="1" applyAlignment="1">
      <alignment horizontal="center"/>
    </xf>
    <xf numFmtId="164" fontId="16" fillId="14" borderId="27" xfId="1" applyFont="1" applyFill="1" applyBorder="1" applyAlignment="1">
      <alignment horizontal="center"/>
    </xf>
    <xf numFmtId="164" fontId="0" fillId="14" borderId="27" xfId="1" applyFont="1" applyFill="1" applyBorder="1" applyAlignment="1">
      <alignment horizontal="center" vertical="center"/>
    </xf>
    <xf numFmtId="0" fontId="0" fillId="14" borderId="27" xfId="0" applyFill="1" applyBorder="1" applyAlignment="1">
      <alignment horizontal="center"/>
    </xf>
    <xf numFmtId="164" fontId="0" fillId="14" borderId="27" xfId="0" applyNumberFormat="1" applyFill="1" applyBorder="1"/>
    <xf numFmtId="0" fontId="22" fillId="0" borderId="0" xfId="0" applyFont="1"/>
    <xf numFmtId="0" fontId="23" fillId="0" borderId="0" xfId="0" applyFont="1"/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4" fillId="0" borderId="17" xfId="13" applyFont="1" applyBorder="1" applyAlignment="1">
      <alignment horizontal="center" vertical="center"/>
    </xf>
    <xf numFmtId="0" fontId="4" fillId="0" borderId="16" xfId="13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4" fillId="0" borderId="4" xfId="13" applyFont="1" applyBorder="1" applyAlignment="1">
      <alignment horizontal="center" vertical="center" wrapText="1"/>
    </xf>
    <xf numFmtId="164" fontId="6" fillId="0" borderId="8" xfId="1" applyFont="1" applyBorder="1" applyAlignment="1">
      <alignment horizontal="center" vertical="center" wrapText="1"/>
    </xf>
    <xf numFmtId="164" fontId="6" fillId="0" borderId="9" xfId="1" applyFont="1" applyBorder="1" applyAlignment="1">
      <alignment horizontal="center" vertical="center" wrapText="1"/>
    </xf>
    <xf numFmtId="164" fontId="6" fillId="0" borderId="10" xfId="1" applyFont="1" applyBorder="1" applyAlignment="1">
      <alignment horizontal="center" vertical="center" wrapText="1"/>
    </xf>
    <xf numFmtId="164" fontId="6" fillId="0" borderId="12" xfId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3" xfId="1" applyFont="1" applyBorder="1" applyAlignment="1">
      <alignment horizontal="center"/>
    </xf>
    <xf numFmtId="15" fontId="6" fillId="0" borderId="3" xfId="1" applyNumberFormat="1" applyFont="1" applyBorder="1" applyAlignment="1">
      <alignment horizontal="center" vertical="center"/>
    </xf>
    <xf numFmtId="164" fontId="6" fillId="0" borderId="3" xfId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/>
    </xf>
    <xf numFmtId="0" fontId="4" fillId="0" borderId="4" xfId="13" applyFont="1" applyBorder="1" applyAlignment="1">
      <alignment horizontal="center" vertical="center"/>
    </xf>
    <xf numFmtId="164" fontId="6" fillId="0" borderId="1" xfId="1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164" fontId="6" fillId="0" borderId="4" xfId="1" applyFont="1" applyBorder="1" applyAlignment="1">
      <alignment horizontal="center"/>
    </xf>
    <xf numFmtId="38" fontId="4" fillId="0" borderId="1" xfId="13" applyNumberFormat="1" applyFont="1" applyBorder="1" applyAlignment="1">
      <alignment horizontal="center" vertical="center"/>
    </xf>
    <xf numFmtId="38" fontId="4" fillId="0" borderId="2" xfId="13" applyNumberFormat="1" applyFont="1" applyBorder="1" applyAlignment="1">
      <alignment horizontal="center" vertical="center"/>
    </xf>
    <xf numFmtId="38" fontId="4" fillId="0" borderId="4" xfId="13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15" fontId="6" fillId="0" borderId="2" xfId="0" applyNumberFormat="1" applyFont="1" applyBorder="1" applyAlignment="1">
      <alignment horizontal="center"/>
    </xf>
    <xf numFmtId="15" fontId="6" fillId="0" borderId="4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168" fontId="6" fillId="0" borderId="17" xfId="0" applyNumberFormat="1" applyFont="1" applyBorder="1" applyAlignment="1">
      <alignment horizontal="center" vertical="center" wrapText="1"/>
    </xf>
    <xf numFmtId="168" fontId="6" fillId="0" borderId="15" xfId="0" applyNumberFormat="1" applyFont="1" applyBorder="1" applyAlignment="1">
      <alignment horizontal="center" vertical="center" wrapText="1"/>
    </xf>
    <xf numFmtId="168" fontId="6" fillId="0" borderId="16" xfId="0" applyNumberFormat="1" applyFont="1" applyBorder="1" applyAlignment="1">
      <alignment horizontal="center" vertical="center" wrapText="1"/>
    </xf>
  </cellXfs>
  <cellStyles count="14">
    <cellStyle name="Comma [0]" xfId="1" builtinId="6"/>
    <cellStyle name="Comma [0] 10 2 2" xfId="3" xr:uid="{00000000-0005-0000-0000-000001000000}"/>
    <cellStyle name="Comma [0] 46" xfId="6" xr:uid="{00000000-0005-0000-0000-000002000000}"/>
    <cellStyle name="Comma 11 11" xfId="5" xr:uid="{00000000-0005-0000-0000-000003000000}"/>
    <cellStyle name="Comma 44" xfId="4" xr:uid="{00000000-0005-0000-0000-000004000000}"/>
    <cellStyle name="Normal" xfId="0" builtinId="0"/>
    <cellStyle name="Normal 10 18" xfId="12" xr:uid="{00000000-0005-0000-0000-000006000000}"/>
    <cellStyle name="Normal 17" xfId="10" xr:uid="{00000000-0005-0000-0000-000007000000}"/>
    <cellStyle name="Normal 2 10 2 4" xfId="7" xr:uid="{00000000-0005-0000-0000-000008000000}"/>
    <cellStyle name="Normal 2 10 5" xfId="13" xr:uid="{00000000-0005-0000-0000-000009000000}"/>
    <cellStyle name="Normal 2 2 2 2" xfId="11" xr:uid="{00000000-0005-0000-0000-00000A000000}"/>
    <cellStyle name="Normal 41 2" xfId="2" xr:uid="{00000000-0005-0000-0000-00000B000000}"/>
    <cellStyle name="Normal 7 2 2 5 2 2 2" xfId="8" xr:uid="{00000000-0005-0000-0000-00000C000000}"/>
    <cellStyle name="Percent 44 2 2" xfId="9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BR98"/>
  <sheetViews>
    <sheetView workbookViewId="0">
      <pane xSplit="6" ySplit="8" topLeftCell="AM36" activePane="bottomRight" state="frozen"/>
      <selection activeCell="AE10" sqref="AE10"/>
      <selection pane="topRight" activeCell="AE10" sqref="AE10"/>
      <selection pane="bottomLeft" activeCell="AE10" sqref="AE10"/>
      <selection pane="bottomRight" activeCell="AV75" sqref="AV75"/>
    </sheetView>
  </sheetViews>
  <sheetFormatPr defaultRowHeight="10.199999999999999" x14ac:dyDescent="0.2"/>
  <cols>
    <col min="1" max="1" width="2.85546875" customWidth="1"/>
    <col min="3" max="3" width="14.7109375" style="23" bestFit="1" customWidth="1"/>
    <col min="4" max="4" width="14.7109375" style="23" customWidth="1"/>
    <col min="5" max="5" width="2.85546875" customWidth="1"/>
    <col min="6" max="6" width="35.140625" customWidth="1"/>
    <col min="7" max="7" width="13.28515625" customWidth="1"/>
    <col min="8" max="8" width="15.28515625" style="24" customWidth="1"/>
    <col min="9" max="9" width="17.42578125" style="25" customWidth="1"/>
    <col min="10" max="10" width="16.85546875" style="25" customWidth="1"/>
    <col min="11" max="11" width="15.7109375" style="25" customWidth="1"/>
    <col min="12" max="15" width="18.42578125" style="25" customWidth="1"/>
    <col min="16" max="19" width="7.85546875" customWidth="1"/>
    <col min="20" max="20" width="8.28515625" customWidth="1"/>
    <col min="21" max="23" width="7.85546875" customWidth="1"/>
    <col min="24" max="24" width="10.85546875" style="25" customWidth="1"/>
    <col min="25" max="25" width="15" style="25" customWidth="1"/>
    <col min="26" max="26" width="8.42578125" customWidth="1"/>
    <col min="27" max="27" width="8.28515625" customWidth="1"/>
    <col min="28" max="30" width="16" customWidth="1"/>
    <col min="31" max="31" width="8.42578125" customWidth="1"/>
    <col min="32" max="32" width="8.140625" customWidth="1"/>
    <col min="33" max="35" width="16" customWidth="1"/>
    <col min="36" max="36" width="9.28515625" customWidth="1"/>
    <col min="37" max="37" width="8.28515625" customWidth="1"/>
    <col min="38" max="38" width="14.42578125" customWidth="1"/>
    <col min="39" max="39" width="16.140625" customWidth="1"/>
    <col min="40" max="40" width="16" customWidth="1"/>
    <col min="41" max="42" width="8" customWidth="1"/>
    <col min="43" max="43" width="16.85546875" customWidth="1"/>
    <col min="44" max="44" width="17.28515625" customWidth="1"/>
    <col min="45" max="45" width="18.140625" customWidth="1"/>
    <col min="46" max="46" width="9.140625" customWidth="1"/>
    <col min="47" max="47" width="7.85546875" customWidth="1"/>
    <col min="48" max="50" width="18.140625" customWidth="1"/>
    <col min="51" max="51" width="1.42578125" customWidth="1"/>
    <col min="52" max="52" width="14.140625" customWidth="1"/>
    <col min="53" max="53" width="13.140625" customWidth="1"/>
    <col min="54" max="54" width="13.28515625" customWidth="1"/>
    <col min="55" max="56" width="13.140625" customWidth="1"/>
    <col min="57" max="57" width="12.85546875" customWidth="1"/>
    <col min="58" max="58" width="13" customWidth="1"/>
    <col min="59" max="59" width="12.85546875" customWidth="1"/>
    <col min="60" max="60" width="13.140625" customWidth="1"/>
    <col min="61" max="61" width="13" customWidth="1"/>
    <col min="62" max="62" width="13.42578125" customWidth="1"/>
    <col min="63" max="63" width="13.7109375" customWidth="1"/>
    <col min="64" max="64" width="14.42578125" customWidth="1"/>
  </cols>
  <sheetData>
    <row r="1" spans="2:70" ht="10.8" thickBot="1" x14ac:dyDescent="0.25"/>
    <row r="2" spans="2:70" ht="10.5" customHeight="1" x14ac:dyDescent="0.2">
      <c r="B2" s="14" t="s">
        <v>22</v>
      </c>
      <c r="C2" s="14"/>
      <c r="D2" s="14"/>
      <c r="E2" s="15" t="s">
        <v>0</v>
      </c>
      <c r="F2" s="16" t="e">
        <f>#REF!</f>
        <v>#REF!</v>
      </c>
      <c r="G2" s="16"/>
      <c r="H2" s="26"/>
      <c r="I2" s="27"/>
      <c r="J2" s="28"/>
      <c r="K2" s="27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  <c r="Y2" s="29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2:70" ht="10.5" customHeight="1" x14ac:dyDescent="0.2">
      <c r="B3" s="1" t="s">
        <v>23</v>
      </c>
      <c r="C3" s="1"/>
      <c r="D3" s="1"/>
      <c r="E3" s="2" t="s">
        <v>0</v>
      </c>
      <c r="F3" s="3">
        <v>44196</v>
      </c>
      <c r="G3" s="3"/>
      <c r="H3" s="31"/>
      <c r="I3" s="31"/>
      <c r="J3" s="32"/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</row>
    <row r="4" spans="2:70" ht="11.25" customHeight="1" thickBot="1" x14ac:dyDescent="0.25">
      <c r="B4" s="4" t="s">
        <v>24</v>
      </c>
      <c r="C4" s="4"/>
      <c r="D4" s="4"/>
      <c r="E4" s="5" t="s">
        <v>0</v>
      </c>
      <c r="F4" s="4" t="s">
        <v>28</v>
      </c>
      <c r="G4" s="4"/>
      <c r="H4" s="37"/>
      <c r="I4" s="37"/>
      <c r="J4" s="38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39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6" spans="2:70" s="6" customFormat="1" ht="10.5" customHeight="1" x14ac:dyDescent="0.2">
      <c r="B6" s="391" t="s">
        <v>7</v>
      </c>
      <c r="C6" s="402" t="s">
        <v>29</v>
      </c>
      <c r="D6" s="41"/>
      <c r="E6" s="403" t="s">
        <v>30</v>
      </c>
      <c r="F6" s="404"/>
      <c r="G6" s="409" t="s">
        <v>31</v>
      </c>
      <c r="H6" s="410"/>
      <c r="I6" s="413" t="s">
        <v>12</v>
      </c>
      <c r="J6" s="413"/>
      <c r="K6" s="413"/>
      <c r="L6" s="413"/>
      <c r="M6" s="418" t="s">
        <v>32</v>
      </c>
      <c r="N6" s="419"/>
      <c r="O6" s="420"/>
      <c r="P6" s="421" t="s">
        <v>33</v>
      </c>
      <c r="Q6" s="422"/>
      <c r="R6" s="422"/>
      <c r="S6" s="423"/>
      <c r="T6" s="396" t="s">
        <v>34</v>
      </c>
      <c r="U6" s="397"/>
      <c r="V6" s="396" t="s">
        <v>35</v>
      </c>
      <c r="W6" s="397"/>
      <c r="X6" s="398" t="s">
        <v>36</v>
      </c>
      <c r="Y6" s="399"/>
      <c r="Z6" s="279"/>
      <c r="AA6" s="390">
        <v>44926</v>
      </c>
      <c r="AB6" s="390"/>
      <c r="AC6" s="390"/>
      <c r="AD6" s="390"/>
      <c r="AE6" s="279"/>
      <c r="AF6" s="390">
        <v>45291</v>
      </c>
      <c r="AG6" s="390"/>
      <c r="AH6" s="390"/>
      <c r="AI6" s="390"/>
      <c r="AJ6" s="279"/>
      <c r="AK6" s="390">
        <v>45657</v>
      </c>
      <c r="AL6" s="390"/>
      <c r="AM6" s="390"/>
      <c r="AN6" s="390"/>
      <c r="AO6" s="349"/>
      <c r="AP6" s="390">
        <v>46022</v>
      </c>
      <c r="AQ6" s="390"/>
      <c r="AR6" s="390"/>
      <c r="AS6" s="390"/>
      <c r="AT6" s="386"/>
      <c r="AU6" s="390">
        <v>46387</v>
      </c>
      <c r="AV6" s="390"/>
      <c r="AW6" s="390"/>
      <c r="AX6" s="390"/>
    </row>
    <row r="7" spans="2:70" s="6" customFormat="1" ht="9.9" customHeight="1" x14ac:dyDescent="0.2">
      <c r="B7" s="391"/>
      <c r="C7" s="402"/>
      <c r="D7" s="43" t="s">
        <v>37</v>
      </c>
      <c r="E7" s="405"/>
      <c r="F7" s="406"/>
      <c r="G7" s="411"/>
      <c r="H7" s="412"/>
      <c r="I7" s="414">
        <v>43100</v>
      </c>
      <c r="J7" s="415" t="s">
        <v>38</v>
      </c>
      <c r="K7" s="415" t="s">
        <v>39</v>
      </c>
      <c r="L7" s="44">
        <v>43465</v>
      </c>
      <c r="M7" s="415" t="s">
        <v>8</v>
      </c>
      <c r="N7" s="415" t="s">
        <v>9</v>
      </c>
      <c r="O7" s="44">
        <f>L7</f>
        <v>43465</v>
      </c>
      <c r="P7" s="416" t="s">
        <v>40</v>
      </c>
      <c r="Q7" s="417"/>
      <c r="R7" s="416" t="s">
        <v>41</v>
      </c>
      <c r="S7" s="417"/>
      <c r="T7" s="394" t="s">
        <v>42</v>
      </c>
      <c r="U7" s="394" t="s">
        <v>43</v>
      </c>
      <c r="V7" s="394" t="s">
        <v>42</v>
      </c>
      <c r="W7" s="394" t="s">
        <v>43</v>
      </c>
      <c r="X7" s="400"/>
      <c r="Y7" s="401"/>
      <c r="Z7" s="280"/>
      <c r="AA7" s="391" t="s">
        <v>44</v>
      </c>
      <c r="AB7" s="392" t="s">
        <v>45</v>
      </c>
      <c r="AC7" s="393" t="s">
        <v>25</v>
      </c>
      <c r="AD7" s="392" t="s">
        <v>26</v>
      </c>
      <c r="AE7" s="280"/>
      <c r="AF7" s="391" t="s">
        <v>44</v>
      </c>
      <c r="AG7" s="392" t="s">
        <v>45</v>
      </c>
      <c r="AH7" s="393" t="s">
        <v>25</v>
      </c>
      <c r="AI7" s="392" t="s">
        <v>26</v>
      </c>
      <c r="AJ7" s="280"/>
      <c r="AK7" s="391" t="s">
        <v>44</v>
      </c>
      <c r="AL7" s="392" t="s">
        <v>45</v>
      </c>
      <c r="AM7" s="393" t="s">
        <v>25</v>
      </c>
      <c r="AN7" s="392" t="s">
        <v>26</v>
      </c>
      <c r="AO7" s="280"/>
      <c r="AP7" s="391" t="s">
        <v>44</v>
      </c>
      <c r="AQ7" s="392" t="s">
        <v>45</v>
      </c>
      <c r="AR7" s="393" t="s">
        <v>25</v>
      </c>
      <c r="AS7" s="392" t="s">
        <v>26</v>
      </c>
      <c r="AT7" s="280"/>
      <c r="AU7" s="391" t="s">
        <v>44</v>
      </c>
      <c r="AV7" s="392" t="s">
        <v>45</v>
      </c>
      <c r="AW7" s="393" t="s">
        <v>25</v>
      </c>
      <c r="AX7" s="392" t="s">
        <v>26</v>
      </c>
      <c r="AZ7" s="197" t="s">
        <v>272</v>
      </c>
      <c r="BA7" s="197" t="s">
        <v>260</v>
      </c>
      <c r="BB7" s="197" t="s">
        <v>261</v>
      </c>
      <c r="BC7" s="197" t="s">
        <v>262</v>
      </c>
      <c r="BD7" s="197" t="s">
        <v>263</v>
      </c>
      <c r="BE7" s="197" t="s">
        <v>264</v>
      </c>
      <c r="BF7" s="197" t="s">
        <v>265</v>
      </c>
      <c r="BG7" s="197" t="s">
        <v>266</v>
      </c>
      <c r="BH7" s="197" t="s">
        <v>267</v>
      </c>
      <c r="BI7" s="197" t="s">
        <v>268</v>
      </c>
      <c r="BJ7" s="197" t="s">
        <v>269</v>
      </c>
      <c r="BK7" s="197" t="s">
        <v>270</v>
      </c>
      <c r="BL7" s="197" t="s">
        <v>271</v>
      </c>
      <c r="BM7" s="7"/>
    </row>
    <row r="8" spans="2:70" s="6" customFormat="1" x14ac:dyDescent="0.2">
      <c r="B8" s="391"/>
      <c r="C8" s="402"/>
      <c r="D8" s="45"/>
      <c r="E8" s="407"/>
      <c r="F8" s="408"/>
      <c r="G8" s="46" t="s">
        <v>40</v>
      </c>
      <c r="H8" s="47" t="s">
        <v>41</v>
      </c>
      <c r="I8" s="415"/>
      <c r="J8" s="415"/>
      <c r="K8" s="415"/>
      <c r="L8" s="48" t="s">
        <v>10</v>
      </c>
      <c r="M8" s="415"/>
      <c r="N8" s="415"/>
      <c r="O8" s="48" t="s">
        <v>11</v>
      </c>
      <c r="P8" s="49" t="s">
        <v>43</v>
      </c>
      <c r="Q8" s="49" t="s">
        <v>42</v>
      </c>
      <c r="R8" s="49" t="s">
        <v>43</v>
      </c>
      <c r="S8" s="49" t="s">
        <v>42</v>
      </c>
      <c r="T8" s="395"/>
      <c r="U8" s="395"/>
      <c r="V8" s="395"/>
      <c r="W8" s="395"/>
      <c r="X8" s="50" t="s">
        <v>40</v>
      </c>
      <c r="Y8" s="51" t="s">
        <v>41</v>
      </c>
      <c r="Z8" s="280"/>
      <c r="AA8" s="391"/>
      <c r="AB8" s="392"/>
      <c r="AC8" s="393"/>
      <c r="AD8" s="392"/>
      <c r="AE8" s="280"/>
      <c r="AF8" s="391"/>
      <c r="AG8" s="392"/>
      <c r="AH8" s="393"/>
      <c r="AI8" s="392"/>
      <c r="AJ8" s="280"/>
      <c r="AK8" s="391"/>
      <c r="AL8" s="392"/>
      <c r="AM8" s="393"/>
      <c r="AN8" s="392"/>
      <c r="AO8" s="280"/>
      <c r="AP8" s="391"/>
      <c r="AQ8" s="392"/>
      <c r="AR8" s="393"/>
      <c r="AS8" s="392"/>
      <c r="AT8" s="280"/>
      <c r="AU8" s="391"/>
      <c r="AV8" s="392"/>
      <c r="AW8" s="393"/>
      <c r="AX8" s="392"/>
      <c r="AZ8" s="198">
        <v>2026</v>
      </c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</row>
    <row r="9" spans="2:70" x14ac:dyDescent="0.2">
      <c r="B9" s="52"/>
      <c r="C9" s="53"/>
      <c r="D9" s="54"/>
      <c r="E9" s="55"/>
      <c r="F9" s="56"/>
      <c r="G9" s="57"/>
      <c r="H9" s="58"/>
      <c r="I9" s="59"/>
      <c r="J9" s="59"/>
      <c r="K9" s="59"/>
      <c r="L9" s="59"/>
      <c r="M9" s="59"/>
      <c r="N9" s="59"/>
      <c r="O9" s="59"/>
      <c r="P9" s="52"/>
      <c r="Q9" s="52"/>
      <c r="R9" s="52"/>
      <c r="S9" s="52"/>
      <c r="T9" s="52"/>
      <c r="U9" s="52"/>
      <c r="V9" s="52"/>
      <c r="W9" s="52"/>
      <c r="X9" s="59"/>
      <c r="Y9" s="59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367"/>
      <c r="AP9" s="367"/>
      <c r="AQ9" s="367"/>
      <c r="AR9" s="367"/>
      <c r="AS9" s="367"/>
      <c r="AT9" s="367"/>
      <c r="AU9" s="367"/>
      <c r="AV9" s="367"/>
      <c r="AW9" s="367"/>
      <c r="AX9" s="367"/>
    </row>
    <row r="10" spans="2:70" s="6" customFormat="1" x14ac:dyDescent="0.2">
      <c r="B10" s="61"/>
      <c r="C10" s="62" t="s">
        <v>5</v>
      </c>
      <c r="D10" s="63"/>
      <c r="E10" s="64"/>
      <c r="F10" s="65"/>
      <c r="G10" s="65"/>
      <c r="H10" s="66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1"/>
      <c r="AB10" s="67"/>
      <c r="AC10" s="67"/>
      <c r="AD10" s="67"/>
      <c r="AE10" s="67"/>
      <c r="AF10" s="61"/>
      <c r="AG10" s="67"/>
      <c r="AH10" s="67"/>
      <c r="AI10" s="67"/>
      <c r="AJ10" s="67"/>
      <c r="AK10" s="61"/>
      <c r="AL10" s="67"/>
      <c r="AM10" s="67"/>
      <c r="AN10" s="67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</row>
    <row r="11" spans="2:70" x14ac:dyDescent="0.2">
      <c r="B11" s="68"/>
      <c r="C11" s="69"/>
      <c r="D11" s="70"/>
      <c r="E11" s="71"/>
      <c r="F11" s="72"/>
      <c r="G11" s="72"/>
      <c r="H11" s="73"/>
      <c r="I11" s="74"/>
      <c r="J11" s="74"/>
      <c r="K11" s="74"/>
      <c r="L11" s="74"/>
      <c r="M11" s="74"/>
      <c r="N11" s="74"/>
      <c r="O11" s="74"/>
      <c r="P11" s="68"/>
      <c r="Q11" s="68"/>
      <c r="R11" s="68"/>
      <c r="S11" s="68"/>
      <c r="T11" s="68"/>
      <c r="U11" s="68"/>
      <c r="V11" s="68"/>
      <c r="W11" s="68"/>
      <c r="X11" s="74"/>
      <c r="Y11" s="74"/>
      <c r="Z11" s="74"/>
      <c r="AA11" s="68"/>
      <c r="AB11" s="68"/>
      <c r="AC11" s="68"/>
      <c r="AD11" s="68"/>
      <c r="AE11" s="74"/>
      <c r="AF11" s="68"/>
      <c r="AG11" s="68"/>
      <c r="AH11" s="68"/>
      <c r="AI11" s="68"/>
      <c r="AJ11" s="74"/>
      <c r="AK11" s="68"/>
      <c r="AL11" s="68"/>
      <c r="AM11" s="68"/>
      <c r="AN11" s="68"/>
      <c r="AO11" s="367"/>
      <c r="AP11" s="367"/>
      <c r="AQ11" s="367"/>
      <c r="AR11" s="367"/>
      <c r="AS11" s="367"/>
      <c r="AT11" s="367"/>
      <c r="AU11" s="367"/>
      <c r="AV11" s="367"/>
      <c r="AW11" s="367"/>
      <c r="AX11" s="367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</row>
    <row r="12" spans="2:70" x14ac:dyDescent="0.2">
      <c r="B12" s="75"/>
      <c r="C12" s="76">
        <v>41243</v>
      </c>
      <c r="D12" s="77"/>
      <c r="E12" s="78" t="s">
        <v>47</v>
      </c>
      <c r="F12" s="79"/>
      <c r="G12" s="80">
        <v>0.25</v>
      </c>
      <c r="H12" s="80">
        <v>0.125</v>
      </c>
      <c r="I12" s="81">
        <v>278911510</v>
      </c>
      <c r="J12" s="81"/>
      <c r="K12" s="81"/>
      <c r="L12" s="81">
        <f t="shared" ref="L12:L25" si="0">I12+J12-K12</f>
        <v>278911510</v>
      </c>
      <c r="M12" s="81"/>
      <c r="N12" s="81"/>
      <c r="O12" s="81">
        <f t="shared" ref="O12:O25" si="1">L12+M12-N12</f>
        <v>278911510</v>
      </c>
      <c r="P12" s="82">
        <f>100%/G12</f>
        <v>4</v>
      </c>
      <c r="Q12" s="79">
        <f>P12*12</f>
        <v>48</v>
      </c>
      <c r="R12" s="82">
        <f t="shared" ref="R12:R27" si="2">100%/H12</f>
        <v>8</v>
      </c>
      <c r="S12" s="79">
        <f>R12*12</f>
        <v>96</v>
      </c>
      <c r="T12" s="79">
        <f t="shared" ref="T12:T27" si="3">MONTH(C12)</f>
        <v>11</v>
      </c>
      <c r="U12" s="83">
        <f t="shared" ref="U12:U27" si="4">YEAR(C12)</f>
        <v>2012</v>
      </c>
      <c r="V12" s="84">
        <f t="shared" ref="V12:V25" si="5">IF(T12=1, 12, T12-1)</f>
        <v>10</v>
      </c>
      <c r="W12" s="85">
        <f t="shared" ref="W12:W25" si="6">IF(T12=1,U12+R12-1,U12+R12)</f>
        <v>2020</v>
      </c>
      <c r="X12" s="86">
        <f>I12/Q12</f>
        <v>5810656.458333333</v>
      </c>
      <c r="Y12" s="81"/>
      <c r="Z12" s="233"/>
      <c r="AA12" s="87">
        <v>0</v>
      </c>
      <c r="AB12" s="88">
        <v>0</v>
      </c>
      <c r="AC12" s="88">
        <v>278911510</v>
      </c>
      <c r="AD12" s="88">
        <f t="shared" ref="AD12:AD18" si="7">O12-AC12</f>
        <v>0</v>
      </c>
      <c r="AE12" s="233"/>
      <c r="AF12" s="87">
        <v>0</v>
      </c>
      <c r="AG12" s="88">
        <f>AF12*AB12</f>
        <v>0</v>
      </c>
      <c r="AH12" s="88">
        <f t="shared" ref="AH12:AH18" si="8">AC12+AG12</f>
        <v>278911510</v>
      </c>
      <c r="AI12" s="88">
        <f t="shared" ref="AI12:AI18" si="9">O12-AH12</f>
        <v>0</v>
      </c>
      <c r="AJ12" s="233"/>
      <c r="AK12" s="87">
        <v>0</v>
      </c>
      <c r="AL12" s="88">
        <f>AK12*Y12</f>
        <v>0</v>
      </c>
      <c r="AM12" s="88">
        <f t="shared" ref="AM12:AM18" si="10">AH12+AL12</f>
        <v>278911510</v>
      </c>
      <c r="AN12" s="88">
        <f>O12-AM12</f>
        <v>0</v>
      </c>
      <c r="AO12" s="233"/>
      <c r="AP12" s="87">
        <v>0</v>
      </c>
      <c r="AQ12" s="88">
        <f>AP12*AD12</f>
        <v>0</v>
      </c>
      <c r="AR12" s="88">
        <f t="shared" ref="AR12:AR18" si="11">AM12+AQ12</f>
        <v>278911510</v>
      </c>
      <c r="AS12" s="88">
        <f>O12-AR12</f>
        <v>0</v>
      </c>
      <c r="AT12" s="233"/>
      <c r="AU12" s="87">
        <v>0</v>
      </c>
      <c r="AV12" s="88">
        <f>AU12*AI12</f>
        <v>0</v>
      </c>
      <c r="AW12" s="88">
        <f t="shared" ref="AW12" si="12">AR12+AV12</f>
        <v>278911510</v>
      </c>
      <c r="AX12" s="88">
        <f>O12-AW12</f>
        <v>0</v>
      </c>
      <c r="AZ12" s="202">
        <f>SUM(BA12:BL12)</f>
        <v>0</v>
      </c>
      <c r="BA12" s="203">
        <f>+Y12*0</f>
        <v>0</v>
      </c>
      <c r="BB12" s="203">
        <f>+Y12*0</f>
        <v>0</v>
      </c>
      <c r="BC12" s="203">
        <f>+Y12*0</f>
        <v>0</v>
      </c>
      <c r="BD12" s="203">
        <f>+Y12*0</f>
        <v>0</v>
      </c>
      <c r="BE12" s="203">
        <f>+Y12*0</f>
        <v>0</v>
      </c>
      <c r="BF12" s="203">
        <f>+Y12*0</f>
        <v>0</v>
      </c>
      <c r="BG12" s="203">
        <f>+Y12*0</f>
        <v>0</v>
      </c>
      <c r="BH12" s="203">
        <f>+Y12*0</f>
        <v>0</v>
      </c>
      <c r="BI12" s="203">
        <f>+Y12*0</f>
        <v>0</v>
      </c>
      <c r="BJ12" s="203">
        <f>+Y12*0</f>
        <v>0</v>
      </c>
      <c r="BK12" s="203">
        <f>+Y12*0</f>
        <v>0</v>
      </c>
      <c r="BL12" s="203">
        <f>+Y12*0</f>
        <v>0</v>
      </c>
    </row>
    <row r="13" spans="2:70" x14ac:dyDescent="0.2">
      <c r="B13" s="75"/>
      <c r="C13" s="370">
        <v>41243</v>
      </c>
      <c r="D13" s="371"/>
      <c r="E13" s="372" t="s">
        <v>48</v>
      </c>
      <c r="F13" s="373"/>
      <c r="G13" s="374">
        <v>0.25</v>
      </c>
      <c r="H13" s="374">
        <v>0.125</v>
      </c>
      <c r="I13" s="375">
        <v>193897458</v>
      </c>
      <c r="J13" s="375"/>
      <c r="K13" s="375"/>
      <c r="L13" s="375">
        <f t="shared" si="0"/>
        <v>193897458</v>
      </c>
      <c r="M13" s="375"/>
      <c r="N13" s="375"/>
      <c r="O13" s="375">
        <f t="shared" si="1"/>
        <v>193897458</v>
      </c>
      <c r="P13" s="376">
        <f t="shared" ref="P13:P27" si="13">100%/G13</f>
        <v>4</v>
      </c>
      <c r="Q13" s="373">
        <f t="shared" ref="Q13:Q27" si="14">P13*12</f>
        <v>48</v>
      </c>
      <c r="R13" s="376">
        <f t="shared" si="2"/>
        <v>8</v>
      </c>
      <c r="S13" s="373">
        <f t="shared" ref="S13:S25" si="15">R13*12</f>
        <v>96</v>
      </c>
      <c r="T13" s="373">
        <f t="shared" si="3"/>
        <v>11</v>
      </c>
      <c r="U13" s="377">
        <f t="shared" si="4"/>
        <v>2012</v>
      </c>
      <c r="V13" s="378">
        <f t="shared" si="5"/>
        <v>10</v>
      </c>
      <c r="W13" s="379">
        <f t="shared" si="6"/>
        <v>2020</v>
      </c>
      <c r="X13" s="380">
        <f t="shared" ref="X13:X18" si="16">I13/Q13</f>
        <v>4039530.375</v>
      </c>
      <c r="Y13" s="375"/>
      <c r="Z13" s="381"/>
      <c r="AA13" s="382">
        <v>0</v>
      </c>
      <c r="AB13" s="383">
        <v>0</v>
      </c>
      <c r="AC13" s="383">
        <v>193897458</v>
      </c>
      <c r="AD13" s="383">
        <f t="shared" si="7"/>
        <v>0</v>
      </c>
      <c r="AE13" s="381"/>
      <c r="AF13" s="382">
        <v>0</v>
      </c>
      <c r="AG13" s="383">
        <f>AF13*AB13</f>
        <v>0</v>
      </c>
      <c r="AH13" s="383">
        <f t="shared" si="8"/>
        <v>193897458</v>
      </c>
      <c r="AI13" s="383">
        <f t="shared" si="9"/>
        <v>0</v>
      </c>
      <c r="AJ13" s="381"/>
      <c r="AK13" s="382">
        <v>0</v>
      </c>
      <c r="AL13" s="383">
        <f t="shared" ref="AL13:AL17" si="17">AK13*Y13</f>
        <v>0</v>
      </c>
      <c r="AM13" s="383">
        <f t="shared" si="10"/>
        <v>193897458</v>
      </c>
      <c r="AN13" s="383">
        <f t="shared" ref="AN13:AN18" si="18">O13-AM13</f>
        <v>0</v>
      </c>
      <c r="AO13" s="381"/>
      <c r="AP13" s="382">
        <v>0</v>
      </c>
      <c r="AQ13" s="383">
        <f t="shared" ref="AQ13:AQ17" si="19">AP13*AD13</f>
        <v>0</v>
      </c>
      <c r="AR13" s="383">
        <v>0</v>
      </c>
      <c r="AS13" s="383">
        <v>0</v>
      </c>
      <c r="AT13" s="381"/>
      <c r="AU13" s="382">
        <v>0</v>
      </c>
      <c r="AV13" s="383">
        <f t="shared" ref="AV13:AV17" si="20">AU13*AI13</f>
        <v>0</v>
      </c>
      <c r="AW13" s="383">
        <v>0</v>
      </c>
      <c r="AX13" s="383">
        <v>0</v>
      </c>
      <c r="AZ13" s="202">
        <f t="shared" ref="AZ13:AZ18" si="21">SUM(BA13:BL13)</f>
        <v>0</v>
      </c>
      <c r="BA13" s="203">
        <f t="shared" ref="BA13:BA17" si="22">+Y13*0</f>
        <v>0</v>
      </c>
      <c r="BB13" s="203">
        <f t="shared" ref="BB13:BB17" si="23">+Y13*0</f>
        <v>0</v>
      </c>
      <c r="BC13" s="203">
        <f t="shared" ref="BC13:BC17" si="24">+Y13*0</f>
        <v>0</v>
      </c>
      <c r="BD13" s="203">
        <f t="shared" ref="BD13:BD17" si="25">+Y13*0</f>
        <v>0</v>
      </c>
      <c r="BE13" s="203">
        <f t="shared" ref="BE13:BE17" si="26">+Y13*0</f>
        <v>0</v>
      </c>
      <c r="BF13" s="203">
        <f t="shared" ref="BF13:BF17" si="27">+Y13*0</f>
        <v>0</v>
      </c>
      <c r="BG13" s="203">
        <f t="shared" ref="BG13:BG17" si="28">+Y13*0</f>
        <v>0</v>
      </c>
      <c r="BH13" s="203">
        <f t="shared" ref="BH13:BH17" si="29">+Y13*0</f>
        <v>0</v>
      </c>
      <c r="BI13" s="203">
        <f t="shared" ref="BI13:BI17" si="30">+Y13*0</f>
        <v>0</v>
      </c>
      <c r="BJ13" s="203">
        <f t="shared" ref="BJ13:BJ17" si="31">+Y13*0</f>
        <v>0</v>
      </c>
      <c r="BK13" s="203">
        <f t="shared" ref="BK13:BK17" si="32">+Y13*0</f>
        <v>0</v>
      </c>
      <c r="BL13" s="203">
        <f t="shared" ref="BL13:BL17" si="33">+Y13*0</f>
        <v>0</v>
      </c>
    </row>
    <row r="14" spans="2:70" x14ac:dyDescent="0.2">
      <c r="B14" s="75"/>
      <c r="C14" s="370">
        <v>41243</v>
      </c>
      <c r="D14" s="371"/>
      <c r="E14" s="372" t="s">
        <v>49</v>
      </c>
      <c r="F14" s="373"/>
      <c r="G14" s="374">
        <v>0.25</v>
      </c>
      <c r="H14" s="374">
        <v>0.125</v>
      </c>
      <c r="I14" s="375">
        <v>176885845</v>
      </c>
      <c r="J14" s="375"/>
      <c r="K14" s="375"/>
      <c r="L14" s="375">
        <f t="shared" si="0"/>
        <v>176885845</v>
      </c>
      <c r="M14" s="375"/>
      <c r="N14" s="375"/>
      <c r="O14" s="375">
        <f t="shared" si="1"/>
        <v>176885845</v>
      </c>
      <c r="P14" s="376">
        <f t="shared" si="13"/>
        <v>4</v>
      </c>
      <c r="Q14" s="373">
        <f t="shared" si="14"/>
        <v>48</v>
      </c>
      <c r="R14" s="376">
        <f t="shared" si="2"/>
        <v>8</v>
      </c>
      <c r="S14" s="373">
        <f t="shared" si="15"/>
        <v>96</v>
      </c>
      <c r="T14" s="373">
        <f t="shared" si="3"/>
        <v>11</v>
      </c>
      <c r="U14" s="377">
        <f t="shared" si="4"/>
        <v>2012</v>
      </c>
      <c r="V14" s="378">
        <f t="shared" si="5"/>
        <v>10</v>
      </c>
      <c r="W14" s="379">
        <f t="shared" si="6"/>
        <v>2020</v>
      </c>
      <c r="X14" s="380">
        <f t="shared" si="16"/>
        <v>3685121.7708333335</v>
      </c>
      <c r="Y14" s="375"/>
      <c r="Z14" s="381"/>
      <c r="AA14" s="382">
        <v>0</v>
      </c>
      <c r="AB14" s="383">
        <v>0</v>
      </c>
      <c r="AC14" s="383">
        <v>176885845</v>
      </c>
      <c r="AD14" s="383">
        <f t="shared" si="7"/>
        <v>0</v>
      </c>
      <c r="AE14" s="381"/>
      <c r="AF14" s="382">
        <v>0</v>
      </c>
      <c r="AG14" s="383">
        <f>AF14*AB14</f>
        <v>0</v>
      </c>
      <c r="AH14" s="383">
        <f t="shared" si="8"/>
        <v>176885845</v>
      </c>
      <c r="AI14" s="383">
        <f t="shared" si="9"/>
        <v>0</v>
      </c>
      <c r="AJ14" s="381"/>
      <c r="AK14" s="382">
        <v>0</v>
      </c>
      <c r="AL14" s="383">
        <f t="shared" si="17"/>
        <v>0</v>
      </c>
      <c r="AM14" s="383">
        <f t="shared" si="10"/>
        <v>176885845</v>
      </c>
      <c r="AN14" s="383">
        <f t="shared" si="18"/>
        <v>0</v>
      </c>
      <c r="AO14" s="381"/>
      <c r="AP14" s="382">
        <v>0</v>
      </c>
      <c r="AQ14" s="383">
        <f t="shared" si="19"/>
        <v>0</v>
      </c>
      <c r="AR14" s="383">
        <v>0</v>
      </c>
      <c r="AS14" s="383">
        <v>0</v>
      </c>
      <c r="AT14" s="381"/>
      <c r="AU14" s="382">
        <v>0</v>
      </c>
      <c r="AV14" s="383">
        <f t="shared" si="20"/>
        <v>0</v>
      </c>
      <c r="AW14" s="383">
        <v>0</v>
      </c>
      <c r="AX14" s="383">
        <v>0</v>
      </c>
      <c r="AZ14" s="202">
        <f t="shared" si="21"/>
        <v>0</v>
      </c>
      <c r="BA14" s="203">
        <f t="shared" si="22"/>
        <v>0</v>
      </c>
      <c r="BB14" s="203">
        <f t="shared" si="23"/>
        <v>0</v>
      </c>
      <c r="BC14" s="203">
        <f t="shared" si="24"/>
        <v>0</v>
      </c>
      <c r="BD14" s="203">
        <f t="shared" si="25"/>
        <v>0</v>
      </c>
      <c r="BE14" s="203">
        <f t="shared" si="26"/>
        <v>0</v>
      </c>
      <c r="BF14" s="203">
        <f t="shared" si="27"/>
        <v>0</v>
      </c>
      <c r="BG14" s="203">
        <f t="shared" si="28"/>
        <v>0</v>
      </c>
      <c r="BH14" s="203">
        <f t="shared" si="29"/>
        <v>0</v>
      </c>
      <c r="BI14" s="203">
        <f t="shared" si="30"/>
        <v>0</v>
      </c>
      <c r="BJ14" s="203">
        <f t="shared" si="31"/>
        <v>0</v>
      </c>
      <c r="BK14" s="203">
        <f t="shared" si="32"/>
        <v>0</v>
      </c>
      <c r="BL14" s="203">
        <f t="shared" si="33"/>
        <v>0</v>
      </c>
    </row>
    <row r="15" spans="2:70" x14ac:dyDescent="0.2">
      <c r="B15" s="75"/>
      <c r="C15" s="329">
        <v>41248</v>
      </c>
      <c r="D15" s="330"/>
      <c r="E15" s="331" t="s">
        <v>50</v>
      </c>
      <c r="F15" s="332"/>
      <c r="G15" s="333">
        <v>0.25</v>
      </c>
      <c r="H15" s="333">
        <v>0.125</v>
      </c>
      <c r="I15" s="334">
        <v>175911139</v>
      </c>
      <c r="J15" s="334"/>
      <c r="K15" s="334"/>
      <c r="L15" s="334">
        <f t="shared" si="0"/>
        <v>175911139</v>
      </c>
      <c r="M15" s="334"/>
      <c r="N15" s="334"/>
      <c r="O15" s="334">
        <f t="shared" si="1"/>
        <v>175911139</v>
      </c>
      <c r="P15" s="335">
        <f t="shared" si="13"/>
        <v>4</v>
      </c>
      <c r="Q15" s="332">
        <f t="shared" si="14"/>
        <v>48</v>
      </c>
      <c r="R15" s="335">
        <f t="shared" si="2"/>
        <v>8</v>
      </c>
      <c r="S15" s="332">
        <f t="shared" si="15"/>
        <v>96</v>
      </c>
      <c r="T15" s="332">
        <f t="shared" si="3"/>
        <v>12</v>
      </c>
      <c r="U15" s="336">
        <f t="shared" si="4"/>
        <v>2012</v>
      </c>
      <c r="V15" s="337">
        <f t="shared" si="5"/>
        <v>11</v>
      </c>
      <c r="W15" s="338">
        <f t="shared" si="6"/>
        <v>2020</v>
      </c>
      <c r="X15" s="339">
        <f t="shared" si="16"/>
        <v>3664815.3958333335</v>
      </c>
      <c r="Y15" s="334"/>
      <c r="Z15" s="340"/>
      <c r="AA15" s="341">
        <v>0</v>
      </c>
      <c r="AB15" s="342">
        <v>0</v>
      </c>
      <c r="AC15" s="342">
        <v>175911139</v>
      </c>
      <c r="AD15" s="342">
        <f t="shared" si="7"/>
        <v>0</v>
      </c>
      <c r="AE15" s="340"/>
      <c r="AF15" s="341">
        <v>0</v>
      </c>
      <c r="AG15" s="342">
        <f>AF15*AB15</f>
        <v>0</v>
      </c>
      <c r="AH15" s="342">
        <f t="shared" si="8"/>
        <v>175911139</v>
      </c>
      <c r="AI15" s="342">
        <f t="shared" si="9"/>
        <v>0</v>
      </c>
      <c r="AJ15" s="340"/>
      <c r="AK15" s="341">
        <v>0</v>
      </c>
      <c r="AL15" s="342">
        <f t="shared" si="17"/>
        <v>0</v>
      </c>
      <c r="AM15" s="342">
        <f t="shared" si="10"/>
        <v>175911139</v>
      </c>
      <c r="AN15" s="342">
        <f t="shared" si="18"/>
        <v>0</v>
      </c>
      <c r="AO15" s="233"/>
      <c r="AP15" s="87"/>
      <c r="AQ15" s="88">
        <f t="shared" ref="AQ15" si="34">AP15*AD15</f>
        <v>0</v>
      </c>
      <c r="AR15" s="88">
        <v>0</v>
      </c>
      <c r="AS15" s="88">
        <v>0</v>
      </c>
      <c r="AT15" s="233"/>
      <c r="AU15" s="87"/>
      <c r="AV15" s="88">
        <f t="shared" si="20"/>
        <v>0</v>
      </c>
      <c r="AW15" s="88">
        <v>0</v>
      </c>
      <c r="AX15" s="88">
        <v>0</v>
      </c>
      <c r="AZ15" s="202">
        <f t="shared" si="21"/>
        <v>0</v>
      </c>
      <c r="BA15" s="203">
        <f t="shared" si="22"/>
        <v>0</v>
      </c>
      <c r="BB15" s="203">
        <f t="shared" si="23"/>
        <v>0</v>
      </c>
      <c r="BC15" s="203">
        <f t="shared" si="24"/>
        <v>0</v>
      </c>
      <c r="BD15" s="203">
        <f t="shared" si="25"/>
        <v>0</v>
      </c>
      <c r="BE15" s="203">
        <f t="shared" si="26"/>
        <v>0</v>
      </c>
      <c r="BF15" s="203">
        <f t="shared" si="27"/>
        <v>0</v>
      </c>
      <c r="BG15" s="203">
        <f t="shared" si="28"/>
        <v>0</v>
      </c>
      <c r="BH15" s="203">
        <f t="shared" si="29"/>
        <v>0</v>
      </c>
      <c r="BI15" s="203">
        <f t="shared" si="30"/>
        <v>0</v>
      </c>
      <c r="BJ15" s="203">
        <f t="shared" si="31"/>
        <v>0</v>
      </c>
      <c r="BK15" s="203">
        <f t="shared" si="32"/>
        <v>0</v>
      </c>
      <c r="BL15" s="203">
        <f t="shared" si="33"/>
        <v>0</v>
      </c>
    </row>
    <row r="16" spans="2:70" x14ac:dyDescent="0.2">
      <c r="B16" s="75"/>
      <c r="C16" s="76">
        <v>41320</v>
      </c>
      <c r="D16" s="77"/>
      <c r="E16" s="78" t="s">
        <v>51</v>
      </c>
      <c r="F16" s="79"/>
      <c r="G16" s="80">
        <v>0.25</v>
      </c>
      <c r="H16" s="80">
        <v>0.125</v>
      </c>
      <c r="I16" s="81">
        <v>11760273</v>
      </c>
      <c r="J16" s="81"/>
      <c r="K16" s="81"/>
      <c r="L16" s="81">
        <f t="shared" si="0"/>
        <v>11760273</v>
      </c>
      <c r="M16" s="81"/>
      <c r="N16" s="81"/>
      <c r="O16" s="81">
        <f t="shared" si="1"/>
        <v>11760273</v>
      </c>
      <c r="P16" s="82">
        <f t="shared" si="13"/>
        <v>4</v>
      </c>
      <c r="Q16" s="79">
        <f t="shared" si="14"/>
        <v>48</v>
      </c>
      <c r="R16" s="82">
        <f t="shared" si="2"/>
        <v>8</v>
      </c>
      <c r="S16" s="79">
        <f t="shared" si="15"/>
        <v>96</v>
      </c>
      <c r="T16" s="79">
        <f t="shared" si="3"/>
        <v>2</v>
      </c>
      <c r="U16" s="83">
        <f t="shared" si="4"/>
        <v>2013</v>
      </c>
      <c r="V16" s="84">
        <f t="shared" si="5"/>
        <v>1</v>
      </c>
      <c r="W16" s="85">
        <f t="shared" si="6"/>
        <v>2021</v>
      </c>
      <c r="X16" s="86">
        <f t="shared" si="16"/>
        <v>245005.6875</v>
      </c>
      <c r="Y16" s="81">
        <v>5000.1160714285716</v>
      </c>
      <c r="Z16" s="233"/>
      <c r="AA16" s="87">
        <v>0</v>
      </c>
      <c r="AB16" s="88">
        <v>0</v>
      </c>
      <c r="AC16" s="88">
        <v>11760273</v>
      </c>
      <c r="AD16" s="88">
        <f t="shared" si="7"/>
        <v>0</v>
      </c>
      <c r="AE16" s="233"/>
      <c r="AF16" s="87">
        <v>0</v>
      </c>
      <c r="AG16" s="88">
        <f t="shared" ref="AG16:AG17" si="35">AF16*AB16</f>
        <v>0</v>
      </c>
      <c r="AH16" s="88">
        <f t="shared" si="8"/>
        <v>11760273</v>
      </c>
      <c r="AI16" s="88">
        <f t="shared" si="9"/>
        <v>0</v>
      </c>
      <c r="AJ16" s="233"/>
      <c r="AK16" s="87">
        <v>0</v>
      </c>
      <c r="AL16" s="88">
        <f t="shared" si="17"/>
        <v>0</v>
      </c>
      <c r="AM16" s="88">
        <f t="shared" si="10"/>
        <v>11760273</v>
      </c>
      <c r="AN16" s="88">
        <f t="shared" si="18"/>
        <v>0</v>
      </c>
      <c r="AO16" s="233"/>
      <c r="AP16" s="87">
        <v>0</v>
      </c>
      <c r="AQ16" s="88">
        <f t="shared" si="19"/>
        <v>0</v>
      </c>
      <c r="AR16" s="88">
        <f t="shared" si="11"/>
        <v>11760273</v>
      </c>
      <c r="AS16" s="88">
        <f t="shared" ref="AS16:AS18" si="36">O16-AR16</f>
        <v>0</v>
      </c>
      <c r="AT16" s="233"/>
      <c r="AU16" s="87">
        <v>0</v>
      </c>
      <c r="AV16" s="88">
        <f t="shared" si="20"/>
        <v>0</v>
      </c>
      <c r="AW16" s="88">
        <f t="shared" ref="AW16:AW18" si="37">AR16+AV16</f>
        <v>11760273</v>
      </c>
      <c r="AX16" s="88">
        <f t="shared" ref="AX16:AX18" si="38">O16-AW16</f>
        <v>0</v>
      </c>
      <c r="AZ16" s="202">
        <f t="shared" si="21"/>
        <v>0</v>
      </c>
      <c r="BA16" s="203">
        <f t="shared" si="22"/>
        <v>0</v>
      </c>
      <c r="BB16" s="203">
        <f t="shared" si="23"/>
        <v>0</v>
      </c>
      <c r="BC16" s="203">
        <f t="shared" si="24"/>
        <v>0</v>
      </c>
      <c r="BD16" s="203">
        <f t="shared" si="25"/>
        <v>0</v>
      </c>
      <c r="BE16" s="203">
        <f t="shared" si="26"/>
        <v>0</v>
      </c>
      <c r="BF16" s="203">
        <f t="shared" si="27"/>
        <v>0</v>
      </c>
      <c r="BG16" s="203">
        <f t="shared" si="28"/>
        <v>0</v>
      </c>
      <c r="BH16" s="203">
        <f t="shared" si="29"/>
        <v>0</v>
      </c>
      <c r="BI16" s="203">
        <f t="shared" si="30"/>
        <v>0</v>
      </c>
      <c r="BJ16" s="203">
        <f t="shared" si="31"/>
        <v>0</v>
      </c>
      <c r="BK16" s="203">
        <f t="shared" si="32"/>
        <v>0</v>
      </c>
      <c r="BL16" s="203">
        <f t="shared" si="33"/>
        <v>0</v>
      </c>
      <c r="BR16" t="s">
        <v>424</v>
      </c>
    </row>
    <row r="17" spans="2:64" x14ac:dyDescent="0.2">
      <c r="B17" s="75"/>
      <c r="C17" s="76">
        <v>41339</v>
      </c>
      <c r="D17" s="77"/>
      <c r="E17" s="78" t="s">
        <v>52</v>
      </c>
      <c r="F17" s="79"/>
      <c r="G17" s="80">
        <v>0.25</v>
      </c>
      <c r="H17" s="80">
        <v>0.125</v>
      </c>
      <c r="I17" s="81">
        <v>11893636</v>
      </c>
      <c r="J17" s="81"/>
      <c r="K17" s="81"/>
      <c r="L17" s="81">
        <f t="shared" si="0"/>
        <v>11893636</v>
      </c>
      <c r="M17" s="81"/>
      <c r="N17" s="81"/>
      <c r="O17" s="81">
        <f t="shared" si="1"/>
        <v>11893636</v>
      </c>
      <c r="P17" s="82">
        <f t="shared" si="13"/>
        <v>4</v>
      </c>
      <c r="Q17" s="79">
        <f t="shared" si="14"/>
        <v>48</v>
      </c>
      <c r="R17" s="82">
        <f t="shared" si="2"/>
        <v>8</v>
      </c>
      <c r="S17" s="79">
        <f t="shared" si="15"/>
        <v>96</v>
      </c>
      <c r="T17" s="79">
        <f t="shared" si="3"/>
        <v>3</v>
      </c>
      <c r="U17" s="83">
        <f t="shared" si="4"/>
        <v>2013</v>
      </c>
      <c r="V17" s="84">
        <f t="shared" si="5"/>
        <v>2</v>
      </c>
      <c r="W17" s="85">
        <f t="shared" si="6"/>
        <v>2021</v>
      </c>
      <c r="X17" s="86">
        <f t="shared" si="16"/>
        <v>247784.08333333334</v>
      </c>
      <c r="Y17" s="81">
        <v>9911.36333333332</v>
      </c>
      <c r="Z17" s="233"/>
      <c r="AA17" s="87">
        <v>0</v>
      </c>
      <c r="AB17" s="88">
        <v>0</v>
      </c>
      <c r="AC17" s="88">
        <v>11893636</v>
      </c>
      <c r="AD17" s="88">
        <f t="shared" si="7"/>
        <v>0</v>
      </c>
      <c r="AE17" s="233"/>
      <c r="AF17" s="87">
        <v>0</v>
      </c>
      <c r="AG17" s="88">
        <f t="shared" si="35"/>
        <v>0</v>
      </c>
      <c r="AH17" s="88">
        <f t="shared" si="8"/>
        <v>11893636</v>
      </c>
      <c r="AI17" s="88">
        <f t="shared" si="9"/>
        <v>0</v>
      </c>
      <c r="AJ17" s="233"/>
      <c r="AK17" s="87">
        <v>0</v>
      </c>
      <c r="AL17" s="88">
        <f t="shared" si="17"/>
        <v>0</v>
      </c>
      <c r="AM17" s="88">
        <f t="shared" si="10"/>
        <v>11893636</v>
      </c>
      <c r="AN17" s="88">
        <f t="shared" si="18"/>
        <v>0</v>
      </c>
      <c r="AO17" s="233"/>
      <c r="AP17" s="87">
        <v>0</v>
      </c>
      <c r="AQ17" s="88">
        <f t="shared" si="19"/>
        <v>0</v>
      </c>
      <c r="AR17" s="88">
        <f t="shared" si="11"/>
        <v>11893636</v>
      </c>
      <c r="AS17" s="88">
        <f t="shared" si="36"/>
        <v>0</v>
      </c>
      <c r="AT17" s="233"/>
      <c r="AU17" s="87">
        <v>0</v>
      </c>
      <c r="AV17" s="88">
        <f t="shared" si="20"/>
        <v>0</v>
      </c>
      <c r="AW17" s="88">
        <f t="shared" si="37"/>
        <v>11893636</v>
      </c>
      <c r="AX17" s="88">
        <f t="shared" si="38"/>
        <v>0</v>
      </c>
      <c r="AZ17" s="202">
        <f t="shared" si="21"/>
        <v>0</v>
      </c>
      <c r="BA17" s="203">
        <f t="shared" si="22"/>
        <v>0</v>
      </c>
      <c r="BB17" s="203">
        <f t="shared" si="23"/>
        <v>0</v>
      </c>
      <c r="BC17" s="203">
        <f t="shared" si="24"/>
        <v>0</v>
      </c>
      <c r="BD17" s="203">
        <f t="shared" si="25"/>
        <v>0</v>
      </c>
      <c r="BE17" s="203">
        <f t="shared" si="26"/>
        <v>0</v>
      </c>
      <c r="BF17" s="203">
        <f t="shared" si="27"/>
        <v>0</v>
      </c>
      <c r="BG17" s="203">
        <f t="shared" si="28"/>
        <v>0</v>
      </c>
      <c r="BH17" s="203">
        <f t="shared" si="29"/>
        <v>0</v>
      </c>
      <c r="BI17" s="203">
        <f t="shared" si="30"/>
        <v>0</v>
      </c>
      <c r="BJ17" s="203">
        <f t="shared" si="31"/>
        <v>0</v>
      </c>
      <c r="BK17" s="203">
        <f t="shared" si="32"/>
        <v>0</v>
      </c>
      <c r="BL17" s="203">
        <f t="shared" si="33"/>
        <v>0</v>
      </c>
    </row>
    <row r="18" spans="2:64" x14ac:dyDescent="0.2">
      <c r="B18" s="75"/>
      <c r="C18" s="76">
        <v>42727</v>
      </c>
      <c r="D18" s="77"/>
      <c r="E18" s="78" t="s">
        <v>53</v>
      </c>
      <c r="F18" s="79"/>
      <c r="G18" s="80">
        <v>0.25</v>
      </c>
      <c r="H18" s="80">
        <v>0.125</v>
      </c>
      <c r="I18" s="81">
        <v>321312180</v>
      </c>
      <c r="J18" s="81"/>
      <c r="K18" s="81"/>
      <c r="L18" s="81">
        <f t="shared" si="0"/>
        <v>321312180</v>
      </c>
      <c r="M18" s="81"/>
      <c r="N18" s="81"/>
      <c r="O18" s="81">
        <f t="shared" si="1"/>
        <v>321312180</v>
      </c>
      <c r="P18" s="82">
        <f t="shared" si="13"/>
        <v>4</v>
      </c>
      <c r="Q18" s="79">
        <f t="shared" si="14"/>
        <v>48</v>
      </c>
      <c r="R18" s="82">
        <f t="shared" si="2"/>
        <v>8</v>
      </c>
      <c r="S18" s="79">
        <f t="shared" si="15"/>
        <v>96</v>
      </c>
      <c r="T18" s="79">
        <f t="shared" si="3"/>
        <v>12</v>
      </c>
      <c r="U18" s="83">
        <f t="shared" si="4"/>
        <v>2016</v>
      </c>
      <c r="V18" s="84">
        <f t="shared" si="5"/>
        <v>11</v>
      </c>
      <c r="W18" s="85">
        <f t="shared" si="6"/>
        <v>2024</v>
      </c>
      <c r="X18" s="86">
        <f t="shared" si="16"/>
        <v>6694003.75</v>
      </c>
      <c r="Y18" s="81">
        <v>3311770.2763157897</v>
      </c>
      <c r="Z18" s="233">
        <v>35</v>
      </c>
      <c r="AA18" s="87">
        <v>12</v>
      </c>
      <c r="AB18" s="88">
        <f>AA18*Y18</f>
        <v>39741243.315789476</v>
      </c>
      <c r="AC18" s="88">
        <v>245141463.64473683</v>
      </c>
      <c r="AD18" s="88">
        <f t="shared" si="7"/>
        <v>76170716.355263174</v>
      </c>
      <c r="AE18" s="233">
        <f>+Z18-AA18</f>
        <v>23</v>
      </c>
      <c r="AF18" s="87">
        <v>12</v>
      </c>
      <c r="AG18" s="88">
        <f>AF18*Y18</f>
        <v>39741243.315789476</v>
      </c>
      <c r="AH18" s="88">
        <f t="shared" si="8"/>
        <v>284882706.96052629</v>
      </c>
      <c r="AI18" s="88">
        <f t="shared" si="9"/>
        <v>36429473.039473712</v>
      </c>
      <c r="AJ18" s="233">
        <f>+AE18-AF18</f>
        <v>11</v>
      </c>
      <c r="AK18" s="87">
        <v>11</v>
      </c>
      <c r="AL18" s="88">
        <f>AK18*Y18</f>
        <v>36429473.039473683</v>
      </c>
      <c r="AM18" s="88">
        <f t="shared" si="10"/>
        <v>321312180</v>
      </c>
      <c r="AN18" s="88">
        <f t="shared" si="18"/>
        <v>0</v>
      </c>
      <c r="AO18" s="233">
        <f>+AJ18-AK18</f>
        <v>0</v>
      </c>
      <c r="AP18" s="87">
        <v>0</v>
      </c>
      <c r="AQ18" s="88">
        <f>AP18*AD18</f>
        <v>0</v>
      </c>
      <c r="AR18" s="88">
        <f t="shared" si="11"/>
        <v>321312180</v>
      </c>
      <c r="AS18" s="88">
        <f t="shared" si="36"/>
        <v>0</v>
      </c>
      <c r="AT18" s="233">
        <f>+AO18-AP18</f>
        <v>0</v>
      </c>
      <c r="AU18" s="87">
        <v>0</v>
      </c>
      <c r="AV18" s="88">
        <f>AU18*AI18</f>
        <v>0</v>
      </c>
      <c r="AW18" s="88">
        <f t="shared" si="37"/>
        <v>321312180</v>
      </c>
      <c r="AX18" s="88">
        <f t="shared" si="38"/>
        <v>0</v>
      </c>
      <c r="AZ18" s="202">
        <f t="shared" si="21"/>
        <v>0</v>
      </c>
      <c r="BA18" s="203">
        <f t="shared" ref="BA18" si="39">+Y18*0</f>
        <v>0</v>
      </c>
      <c r="BB18" s="203">
        <f t="shared" ref="BB18" si="40">+Y18*0</f>
        <v>0</v>
      </c>
      <c r="BC18" s="203">
        <f t="shared" ref="BC18" si="41">+Y18*0</f>
        <v>0</v>
      </c>
      <c r="BD18" s="203">
        <f t="shared" ref="BD18" si="42">+Y18*0</f>
        <v>0</v>
      </c>
      <c r="BE18" s="203">
        <f t="shared" ref="BE18" si="43">+Y18*0</f>
        <v>0</v>
      </c>
      <c r="BF18" s="203">
        <f t="shared" ref="BF18" si="44">+Y18*0</f>
        <v>0</v>
      </c>
      <c r="BG18" s="203">
        <f t="shared" ref="BG18" si="45">+Y18*0</f>
        <v>0</v>
      </c>
      <c r="BH18" s="203">
        <f t="shared" ref="BH18" si="46">+Y18*0</f>
        <v>0</v>
      </c>
      <c r="BI18" s="203">
        <f t="shared" ref="BI18" si="47">+Y18*0</f>
        <v>0</v>
      </c>
      <c r="BJ18" s="203">
        <f t="shared" ref="BJ18" si="48">+Y18*0</f>
        <v>0</v>
      </c>
      <c r="BK18" s="203">
        <f t="shared" ref="BK18" si="49">+Y18*0</f>
        <v>0</v>
      </c>
      <c r="BL18" s="203">
        <f t="shared" ref="BL18" si="50">+Y18*0</f>
        <v>0</v>
      </c>
    </row>
    <row r="19" spans="2:64" x14ac:dyDescent="0.2">
      <c r="B19" s="68"/>
      <c r="C19" s="89"/>
      <c r="D19" s="70"/>
      <c r="E19" s="71"/>
      <c r="F19" s="72"/>
      <c r="G19" s="90"/>
      <c r="H19" s="90"/>
      <c r="I19" s="74"/>
      <c r="J19" s="74"/>
      <c r="K19" s="74"/>
      <c r="L19" s="74"/>
      <c r="M19" s="74"/>
      <c r="N19" s="74"/>
      <c r="O19" s="74"/>
      <c r="P19" s="91"/>
      <c r="Q19" s="72"/>
      <c r="R19" s="91"/>
      <c r="S19" s="72"/>
      <c r="T19" s="72"/>
      <c r="U19" s="92"/>
      <c r="V19" s="93"/>
      <c r="W19" s="94"/>
      <c r="X19" s="95"/>
      <c r="Y19" s="74"/>
      <c r="Z19" s="307"/>
      <c r="AA19" s="73"/>
      <c r="AB19" s="96"/>
      <c r="AC19" s="96"/>
      <c r="AD19" s="96"/>
      <c r="AE19" s="307"/>
      <c r="AF19" s="73"/>
      <c r="AG19" s="96"/>
      <c r="AH19" s="96"/>
      <c r="AI19" s="96"/>
      <c r="AJ19" s="307"/>
      <c r="AK19" s="73"/>
      <c r="AL19" s="96"/>
      <c r="AM19" s="96"/>
      <c r="AN19" s="96"/>
      <c r="AO19" s="307"/>
      <c r="AP19" s="73"/>
      <c r="AQ19" s="96"/>
      <c r="AR19" s="96"/>
      <c r="AS19" s="96"/>
      <c r="AT19" s="307"/>
      <c r="AU19" s="73"/>
      <c r="AV19" s="96"/>
      <c r="AW19" s="96"/>
      <c r="AX19" s="96"/>
      <c r="AZ19" s="236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</row>
    <row r="20" spans="2:64" x14ac:dyDescent="0.2">
      <c r="B20" s="68"/>
      <c r="C20" s="89">
        <v>42830</v>
      </c>
      <c r="D20" s="70"/>
      <c r="E20" s="71">
        <v>1</v>
      </c>
      <c r="F20" s="72" t="s">
        <v>54</v>
      </c>
      <c r="G20" s="90">
        <v>0.25</v>
      </c>
      <c r="H20" s="90">
        <v>0.125</v>
      </c>
      <c r="I20" s="74">
        <v>21975000</v>
      </c>
      <c r="J20" s="74"/>
      <c r="K20" s="74"/>
      <c r="L20" s="74">
        <f t="shared" si="0"/>
        <v>21975000</v>
      </c>
      <c r="M20" s="74"/>
      <c r="N20" s="74"/>
      <c r="O20" s="74">
        <f t="shared" si="1"/>
        <v>21975000</v>
      </c>
      <c r="P20" s="91">
        <f t="shared" si="13"/>
        <v>4</v>
      </c>
      <c r="Q20" s="72">
        <f t="shared" si="14"/>
        <v>48</v>
      </c>
      <c r="R20" s="91">
        <f t="shared" si="2"/>
        <v>8</v>
      </c>
      <c r="S20" s="72">
        <f t="shared" si="15"/>
        <v>96</v>
      </c>
      <c r="T20" s="72">
        <f t="shared" si="3"/>
        <v>4</v>
      </c>
      <c r="U20" s="92">
        <f t="shared" si="4"/>
        <v>2017</v>
      </c>
      <c r="V20" s="93">
        <f t="shared" si="5"/>
        <v>3</v>
      </c>
      <c r="W20" s="94">
        <f t="shared" si="6"/>
        <v>2025</v>
      </c>
      <c r="X20" s="95">
        <v>0</v>
      </c>
      <c r="Y20" s="74">
        <f t="shared" ref="Y20:Y27" si="51">L20/S20</f>
        <v>228906.25</v>
      </c>
      <c r="Z20" s="302">
        <v>39</v>
      </c>
      <c r="AA20" s="73">
        <v>12</v>
      </c>
      <c r="AB20" s="194">
        <f t="shared" ref="AB20:AB27" si="52">AA20*Y20</f>
        <v>2746875</v>
      </c>
      <c r="AC20" s="194">
        <v>15794531.25</v>
      </c>
      <c r="AD20" s="194">
        <f t="shared" ref="AD20:AD27" si="53">O20-AC20</f>
        <v>6180468.75</v>
      </c>
      <c r="AE20" s="302">
        <f t="shared" ref="AE20:AE27" si="54">+Z20-AA20</f>
        <v>27</v>
      </c>
      <c r="AF20" s="73">
        <v>12</v>
      </c>
      <c r="AG20" s="194">
        <f t="shared" ref="AG20:AG27" si="55">AF20*Y20</f>
        <v>2746875</v>
      </c>
      <c r="AH20" s="194">
        <f t="shared" ref="AH20" si="56">AC20+AG20</f>
        <v>18541406.25</v>
      </c>
      <c r="AI20" s="194">
        <f t="shared" ref="AI20:AI27" si="57">O20-AH20</f>
        <v>3433593.75</v>
      </c>
      <c r="AJ20" s="302">
        <f t="shared" ref="AJ20:AJ27" si="58">+AE20-AF20</f>
        <v>15</v>
      </c>
      <c r="AK20" s="73">
        <v>12</v>
      </c>
      <c r="AL20" s="194">
        <f>AK20*Y20</f>
        <v>2746875</v>
      </c>
      <c r="AM20" s="194">
        <f t="shared" ref="AM20:AM27" si="59">AH20+AL20</f>
        <v>21288281.25</v>
      </c>
      <c r="AN20" s="194">
        <f t="shared" ref="AN20:AN27" si="60">O20-AM20</f>
        <v>686718.75</v>
      </c>
      <c r="AO20" s="302">
        <f>+AJ20-AK20</f>
        <v>3</v>
      </c>
      <c r="AP20" s="73">
        <v>3</v>
      </c>
      <c r="AQ20" s="194">
        <f>AP20*Y20</f>
        <v>686718.75</v>
      </c>
      <c r="AR20" s="194">
        <f t="shared" ref="AR20:AR27" si="61">AM20+AQ20</f>
        <v>21975000</v>
      </c>
      <c r="AS20" s="194">
        <f>O20-AR20</f>
        <v>0</v>
      </c>
      <c r="AT20" s="302">
        <f>+AO20-AP20</f>
        <v>0</v>
      </c>
      <c r="AU20" s="73">
        <v>0</v>
      </c>
      <c r="AV20" s="194">
        <f>AU20*AD20</f>
        <v>0</v>
      </c>
      <c r="AW20" s="194">
        <f t="shared" ref="AW20:AW27" si="62">AR20+AV20</f>
        <v>21975000</v>
      </c>
      <c r="AX20" s="194">
        <f>O20-AW20</f>
        <v>0</v>
      </c>
      <c r="AZ20" s="202">
        <f t="shared" ref="AZ20:AZ27" si="63">SUM(BA20:BL20)</f>
        <v>0</v>
      </c>
      <c r="BA20" s="203">
        <f t="shared" ref="BA20:BA25" si="64">+Y20*0</f>
        <v>0</v>
      </c>
      <c r="BB20" s="203">
        <f t="shared" ref="BB20:BB25" si="65">+Y20*0</f>
        <v>0</v>
      </c>
      <c r="BC20" s="203">
        <f t="shared" ref="BC20:BC25" si="66">+Y20*0</f>
        <v>0</v>
      </c>
      <c r="BD20" s="203">
        <f t="shared" ref="BD20:BD25" si="67">+Y20*0</f>
        <v>0</v>
      </c>
      <c r="BE20" s="203">
        <f t="shared" ref="BE20:BE25" si="68">+Y20*0</f>
        <v>0</v>
      </c>
      <c r="BF20" s="203">
        <f t="shared" ref="BF20:BF25" si="69">+Y20*0</f>
        <v>0</v>
      </c>
      <c r="BG20" s="203">
        <f t="shared" ref="BG20:BG25" si="70">+Y20*0</f>
        <v>0</v>
      </c>
      <c r="BH20" s="203">
        <f t="shared" ref="BH20:BH25" si="71">+Y20*0</f>
        <v>0</v>
      </c>
      <c r="BI20" s="203">
        <f t="shared" ref="BI20:BI25" si="72">+Y20*0</f>
        <v>0</v>
      </c>
      <c r="BJ20" s="203">
        <f t="shared" ref="BJ20:BJ25" si="73">+Y20*0</f>
        <v>0</v>
      </c>
      <c r="BK20" s="203">
        <f t="shared" ref="BK20:BK25" si="74">+Y20*0</f>
        <v>0</v>
      </c>
      <c r="BL20" s="203">
        <f t="shared" ref="BL20:BL25" si="75">+Y20*0</f>
        <v>0</v>
      </c>
    </row>
    <row r="21" spans="2:64" x14ac:dyDescent="0.2">
      <c r="B21" s="68"/>
      <c r="C21" s="89">
        <v>42940</v>
      </c>
      <c r="D21" s="70"/>
      <c r="E21" s="71">
        <v>1</v>
      </c>
      <c r="F21" s="72" t="s">
        <v>55</v>
      </c>
      <c r="G21" s="90">
        <v>0.25</v>
      </c>
      <c r="H21" s="90">
        <v>0.125</v>
      </c>
      <c r="I21" s="74">
        <v>159575520</v>
      </c>
      <c r="J21" s="74"/>
      <c r="K21" s="74"/>
      <c r="L21" s="74">
        <f t="shared" si="0"/>
        <v>159575520</v>
      </c>
      <c r="M21" s="74"/>
      <c r="N21" s="74"/>
      <c r="O21" s="74">
        <f t="shared" si="1"/>
        <v>159575520</v>
      </c>
      <c r="P21" s="91">
        <f t="shared" si="13"/>
        <v>4</v>
      </c>
      <c r="Q21" s="72">
        <f t="shared" si="14"/>
        <v>48</v>
      </c>
      <c r="R21" s="91">
        <f t="shared" si="2"/>
        <v>8</v>
      </c>
      <c r="S21" s="72">
        <f t="shared" si="15"/>
        <v>96</v>
      </c>
      <c r="T21" s="72">
        <f t="shared" si="3"/>
        <v>7</v>
      </c>
      <c r="U21" s="92">
        <f t="shared" si="4"/>
        <v>2017</v>
      </c>
      <c r="V21" s="93">
        <f t="shared" si="5"/>
        <v>6</v>
      </c>
      <c r="W21" s="94">
        <f t="shared" si="6"/>
        <v>2025</v>
      </c>
      <c r="X21" s="95">
        <v>0</v>
      </c>
      <c r="Y21" s="74">
        <f t="shared" si="51"/>
        <v>1662245</v>
      </c>
      <c r="Z21" s="302">
        <v>42</v>
      </c>
      <c r="AA21" s="73">
        <v>12</v>
      </c>
      <c r="AB21" s="194">
        <f t="shared" si="52"/>
        <v>19946940</v>
      </c>
      <c r="AC21" s="194">
        <v>109708170</v>
      </c>
      <c r="AD21" s="194">
        <f t="shared" si="53"/>
        <v>49867350</v>
      </c>
      <c r="AE21" s="302">
        <f t="shared" si="54"/>
        <v>30</v>
      </c>
      <c r="AF21" s="73">
        <v>12</v>
      </c>
      <c r="AG21" s="194">
        <f t="shared" si="55"/>
        <v>19946940</v>
      </c>
      <c r="AH21" s="194">
        <f t="shared" ref="AH21:AH27" si="76">AC21+AG21</f>
        <v>129655110</v>
      </c>
      <c r="AI21" s="194">
        <f t="shared" si="57"/>
        <v>29920410</v>
      </c>
      <c r="AJ21" s="302">
        <f t="shared" si="58"/>
        <v>18</v>
      </c>
      <c r="AK21" s="73">
        <v>12</v>
      </c>
      <c r="AL21" s="194">
        <f t="shared" ref="AL21:AL27" si="77">AK21*Y21</f>
        <v>19946940</v>
      </c>
      <c r="AM21" s="194">
        <f t="shared" si="59"/>
        <v>149602050</v>
      </c>
      <c r="AN21" s="194">
        <f t="shared" si="60"/>
        <v>9973470</v>
      </c>
      <c r="AO21" s="302">
        <f t="shared" ref="AO21:AO27" si="78">+AJ21-AK21</f>
        <v>6</v>
      </c>
      <c r="AP21" s="73">
        <v>6</v>
      </c>
      <c r="AQ21" s="194">
        <f t="shared" ref="AQ21:AQ27" si="79">AP21*Y21</f>
        <v>9973470</v>
      </c>
      <c r="AR21" s="194">
        <f t="shared" si="61"/>
        <v>159575520</v>
      </c>
      <c r="AS21" s="194">
        <f t="shared" ref="AS21:AS27" si="80">O21-AR21</f>
        <v>0</v>
      </c>
      <c r="AT21" s="302">
        <f t="shared" ref="AT21:AT27" si="81">+AO21-AP21</f>
        <v>0</v>
      </c>
      <c r="AU21" s="73">
        <v>0</v>
      </c>
      <c r="AV21" s="194">
        <f t="shared" ref="AV21:AV25" si="82">AU21*AD21</f>
        <v>0</v>
      </c>
      <c r="AW21" s="194">
        <f t="shared" si="62"/>
        <v>159575520</v>
      </c>
      <c r="AX21" s="194">
        <f t="shared" ref="AX21:AX25" si="83">O21-AW21</f>
        <v>0</v>
      </c>
      <c r="AZ21" s="202">
        <f t="shared" si="63"/>
        <v>0</v>
      </c>
      <c r="BA21" s="203">
        <f t="shared" si="64"/>
        <v>0</v>
      </c>
      <c r="BB21" s="203">
        <f t="shared" si="65"/>
        <v>0</v>
      </c>
      <c r="BC21" s="203">
        <f t="shared" si="66"/>
        <v>0</v>
      </c>
      <c r="BD21" s="203">
        <f t="shared" si="67"/>
        <v>0</v>
      </c>
      <c r="BE21" s="203">
        <f t="shared" si="68"/>
        <v>0</v>
      </c>
      <c r="BF21" s="203">
        <f t="shared" si="69"/>
        <v>0</v>
      </c>
      <c r="BG21" s="203">
        <f t="shared" si="70"/>
        <v>0</v>
      </c>
      <c r="BH21" s="203">
        <f t="shared" si="71"/>
        <v>0</v>
      </c>
      <c r="BI21" s="203">
        <f t="shared" si="72"/>
        <v>0</v>
      </c>
      <c r="BJ21" s="203">
        <f t="shared" si="73"/>
        <v>0</v>
      </c>
      <c r="BK21" s="203">
        <f t="shared" si="74"/>
        <v>0</v>
      </c>
      <c r="BL21" s="203">
        <f t="shared" si="75"/>
        <v>0</v>
      </c>
    </row>
    <row r="22" spans="2:64" x14ac:dyDescent="0.2">
      <c r="B22" s="68"/>
      <c r="C22" s="89">
        <v>42998</v>
      </c>
      <c r="D22" s="70"/>
      <c r="E22" s="71">
        <v>1</v>
      </c>
      <c r="F22" s="72" t="s">
        <v>56</v>
      </c>
      <c r="G22" s="90">
        <v>0.25</v>
      </c>
      <c r="H22" s="90">
        <v>0.125</v>
      </c>
      <c r="I22" s="74">
        <v>350363636</v>
      </c>
      <c r="J22" s="74"/>
      <c r="K22" s="74"/>
      <c r="L22" s="74">
        <f t="shared" si="0"/>
        <v>350363636</v>
      </c>
      <c r="M22" s="74"/>
      <c r="N22" s="74"/>
      <c r="O22" s="74">
        <f t="shared" si="1"/>
        <v>350363636</v>
      </c>
      <c r="P22" s="91">
        <f t="shared" si="13"/>
        <v>4</v>
      </c>
      <c r="Q22" s="72">
        <f t="shared" si="14"/>
        <v>48</v>
      </c>
      <c r="R22" s="91">
        <f t="shared" si="2"/>
        <v>8</v>
      </c>
      <c r="S22" s="72">
        <f t="shared" si="15"/>
        <v>96</v>
      </c>
      <c r="T22" s="72">
        <f t="shared" si="3"/>
        <v>9</v>
      </c>
      <c r="U22" s="92">
        <f t="shared" si="4"/>
        <v>2017</v>
      </c>
      <c r="V22" s="93">
        <f t="shared" si="5"/>
        <v>8</v>
      </c>
      <c r="W22" s="94">
        <f t="shared" si="6"/>
        <v>2025</v>
      </c>
      <c r="X22" s="95">
        <v>0</v>
      </c>
      <c r="Y22" s="74">
        <f t="shared" si="51"/>
        <v>3649621.2083333335</v>
      </c>
      <c r="Z22" s="302">
        <v>44</v>
      </c>
      <c r="AA22" s="73">
        <v>12</v>
      </c>
      <c r="AB22" s="194">
        <f t="shared" si="52"/>
        <v>43795454.5</v>
      </c>
      <c r="AC22" s="194">
        <v>233575757.33333334</v>
      </c>
      <c r="AD22" s="194">
        <f t="shared" si="53"/>
        <v>116787878.66666666</v>
      </c>
      <c r="AE22" s="302">
        <f t="shared" si="54"/>
        <v>32</v>
      </c>
      <c r="AF22" s="73">
        <v>12</v>
      </c>
      <c r="AG22" s="194">
        <f t="shared" si="55"/>
        <v>43795454.5</v>
      </c>
      <c r="AH22" s="194">
        <f t="shared" si="76"/>
        <v>277371211.83333337</v>
      </c>
      <c r="AI22" s="194">
        <f t="shared" si="57"/>
        <v>72992424.166666627</v>
      </c>
      <c r="AJ22" s="302">
        <f t="shared" si="58"/>
        <v>20</v>
      </c>
      <c r="AK22" s="73">
        <v>12</v>
      </c>
      <c r="AL22" s="194">
        <f t="shared" si="77"/>
        <v>43795454.5</v>
      </c>
      <c r="AM22" s="194">
        <f t="shared" si="59"/>
        <v>321166666.33333337</v>
      </c>
      <c r="AN22" s="194">
        <f t="shared" si="60"/>
        <v>29196969.666666627</v>
      </c>
      <c r="AO22" s="302">
        <f t="shared" si="78"/>
        <v>8</v>
      </c>
      <c r="AP22" s="73">
        <v>8</v>
      </c>
      <c r="AQ22" s="194">
        <f t="shared" si="79"/>
        <v>29196969.666666668</v>
      </c>
      <c r="AR22" s="194">
        <f t="shared" si="61"/>
        <v>350363636.00000006</v>
      </c>
      <c r="AS22" s="194">
        <f t="shared" si="80"/>
        <v>0</v>
      </c>
      <c r="AT22" s="302">
        <f t="shared" si="81"/>
        <v>0</v>
      </c>
      <c r="AU22" s="73">
        <v>0</v>
      </c>
      <c r="AV22" s="194">
        <f t="shared" si="82"/>
        <v>0</v>
      </c>
      <c r="AW22" s="194">
        <f t="shared" si="62"/>
        <v>350363636.00000006</v>
      </c>
      <c r="AX22" s="194">
        <f t="shared" si="83"/>
        <v>0</v>
      </c>
      <c r="AZ22" s="202">
        <f t="shared" si="63"/>
        <v>0</v>
      </c>
      <c r="BA22" s="203">
        <f t="shared" si="64"/>
        <v>0</v>
      </c>
      <c r="BB22" s="203">
        <f t="shared" si="65"/>
        <v>0</v>
      </c>
      <c r="BC22" s="203">
        <f t="shared" si="66"/>
        <v>0</v>
      </c>
      <c r="BD22" s="203">
        <f t="shared" si="67"/>
        <v>0</v>
      </c>
      <c r="BE22" s="203">
        <f t="shared" si="68"/>
        <v>0</v>
      </c>
      <c r="BF22" s="203">
        <f t="shared" si="69"/>
        <v>0</v>
      </c>
      <c r="BG22" s="203">
        <f t="shared" si="70"/>
        <v>0</v>
      </c>
      <c r="BH22" s="203">
        <f t="shared" si="71"/>
        <v>0</v>
      </c>
      <c r="BI22" s="203">
        <f t="shared" si="72"/>
        <v>0</v>
      </c>
      <c r="BJ22" s="203">
        <f t="shared" si="73"/>
        <v>0</v>
      </c>
      <c r="BK22" s="203">
        <f t="shared" si="74"/>
        <v>0</v>
      </c>
      <c r="BL22" s="203">
        <f t="shared" si="75"/>
        <v>0</v>
      </c>
    </row>
    <row r="23" spans="2:64" x14ac:dyDescent="0.2">
      <c r="B23" s="68"/>
      <c r="C23" s="89">
        <v>42998</v>
      </c>
      <c r="D23" s="70"/>
      <c r="E23" s="71">
        <v>1</v>
      </c>
      <c r="F23" s="72" t="s">
        <v>57</v>
      </c>
      <c r="G23" s="90">
        <v>0.25</v>
      </c>
      <c r="H23" s="90">
        <v>0.125</v>
      </c>
      <c r="I23" s="74">
        <v>72919000</v>
      </c>
      <c r="J23" s="74"/>
      <c r="K23" s="74"/>
      <c r="L23" s="74">
        <f t="shared" si="0"/>
        <v>72919000</v>
      </c>
      <c r="M23" s="74"/>
      <c r="N23" s="74"/>
      <c r="O23" s="74">
        <f t="shared" si="1"/>
        <v>72919000</v>
      </c>
      <c r="P23" s="91">
        <f t="shared" si="13"/>
        <v>4</v>
      </c>
      <c r="Q23" s="72">
        <f t="shared" si="14"/>
        <v>48</v>
      </c>
      <c r="R23" s="91">
        <f t="shared" si="2"/>
        <v>8</v>
      </c>
      <c r="S23" s="72">
        <f t="shared" si="15"/>
        <v>96</v>
      </c>
      <c r="T23" s="72">
        <f t="shared" si="3"/>
        <v>9</v>
      </c>
      <c r="U23" s="92">
        <f t="shared" si="4"/>
        <v>2017</v>
      </c>
      <c r="V23" s="93">
        <f t="shared" si="5"/>
        <v>8</v>
      </c>
      <c r="W23" s="94">
        <f t="shared" si="6"/>
        <v>2025</v>
      </c>
      <c r="X23" s="95">
        <v>0</v>
      </c>
      <c r="Y23" s="74">
        <f t="shared" si="51"/>
        <v>759572.91666666663</v>
      </c>
      <c r="Z23" s="302">
        <v>44</v>
      </c>
      <c r="AA23" s="73">
        <v>12</v>
      </c>
      <c r="AB23" s="194">
        <f t="shared" si="52"/>
        <v>9114875</v>
      </c>
      <c r="AC23" s="194">
        <v>48612666.666666664</v>
      </c>
      <c r="AD23" s="194">
        <f t="shared" si="53"/>
        <v>24306333.333333336</v>
      </c>
      <c r="AE23" s="302">
        <f t="shared" si="54"/>
        <v>32</v>
      </c>
      <c r="AF23" s="73">
        <v>12</v>
      </c>
      <c r="AG23" s="194">
        <f t="shared" si="55"/>
        <v>9114875</v>
      </c>
      <c r="AH23" s="194">
        <f t="shared" si="76"/>
        <v>57727541.666666664</v>
      </c>
      <c r="AI23" s="194">
        <f t="shared" si="57"/>
        <v>15191458.333333336</v>
      </c>
      <c r="AJ23" s="302">
        <f t="shared" si="58"/>
        <v>20</v>
      </c>
      <c r="AK23" s="73">
        <v>12</v>
      </c>
      <c r="AL23" s="194">
        <f t="shared" si="77"/>
        <v>9114875</v>
      </c>
      <c r="AM23" s="194">
        <f t="shared" si="59"/>
        <v>66842416.666666664</v>
      </c>
      <c r="AN23" s="194">
        <f t="shared" si="60"/>
        <v>6076583.3333333358</v>
      </c>
      <c r="AO23" s="302">
        <f t="shared" si="78"/>
        <v>8</v>
      </c>
      <c r="AP23" s="73">
        <v>8</v>
      </c>
      <c r="AQ23" s="194">
        <f t="shared" si="79"/>
        <v>6076583.333333333</v>
      </c>
      <c r="AR23" s="194">
        <f t="shared" si="61"/>
        <v>72919000</v>
      </c>
      <c r="AS23" s="194">
        <f t="shared" si="80"/>
        <v>0</v>
      </c>
      <c r="AT23" s="302">
        <f t="shared" si="81"/>
        <v>0</v>
      </c>
      <c r="AU23" s="73">
        <v>0</v>
      </c>
      <c r="AV23" s="194">
        <f t="shared" si="82"/>
        <v>0</v>
      </c>
      <c r="AW23" s="194">
        <f t="shared" si="62"/>
        <v>72919000</v>
      </c>
      <c r="AX23" s="194">
        <f t="shared" si="83"/>
        <v>0</v>
      </c>
      <c r="AZ23" s="202">
        <f t="shared" si="63"/>
        <v>0</v>
      </c>
      <c r="BA23" s="203">
        <f t="shared" si="64"/>
        <v>0</v>
      </c>
      <c r="BB23" s="203">
        <f t="shared" si="65"/>
        <v>0</v>
      </c>
      <c r="BC23" s="203">
        <f t="shared" si="66"/>
        <v>0</v>
      </c>
      <c r="BD23" s="203">
        <f t="shared" si="67"/>
        <v>0</v>
      </c>
      <c r="BE23" s="203">
        <f t="shared" si="68"/>
        <v>0</v>
      </c>
      <c r="BF23" s="203">
        <f t="shared" si="69"/>
        <v>0</v>
      </c>
      <c r="BG23" s="203">
        <f t="shared" si="70"/>
        <v>0</v>
      </c>
      <c r="BH23" s="203">
        <f t="shared" si="71"/>
        <v>0</v>
      </c>
      <c r="BI23" s="203">
        <f t="shared" si="72"/>
        <v>0</v>
      </c>
      <c r="BJ23" s="203">
        <f t="shared" si="73"/>
        <v>0</v>
      </c>
      <c r="BK23" s="203">
        <f t="shared" si="74"/>
        <v>0</v>
      </c>
      <c r="BL23" s="203">
        <f t="shared" si="75"/>
        <v>0</v>
      </c>
    </row>
    <row r="24" spans="2:64" x14ac:dyDescent="0.2">
      <c r="B24" s="68"/>
      <c r="C24" s="89">
        <v>43026</v>
      </c>
      <c r="D24" s="70"/>
      <c r="E24" s="71">
        <v>1</v>
      </c>
      <c r="F24" s="72" t="s">
        <v>58</v>
      </c>
      <c r="G24" s="90">
        <v>0.25</v>
      </c>
      <c r="H24" s="90">
        <v>0.125</v>
      </c>
      <c r="I24" s="74">
        <v>60000000</v>
      </c>
      <c r="J24" s="74"/>
      <c r="K24" s="74"/>
      <c r="L24" s="74">
        <f t="shared" si="0"/>
        <v>60000000</v>
      </c>
      <c r="M24" s="74"/>
      <c r="N24" s="74"/>
      <c r="O24" s="74">
        <f t="shared" si="1"/>
        <v>60000000</v>
      </c>
      <c r="P24" s="91">
        <f t="shared" si="13"/>
        <v>4</v>
      </c>
      <c r="Q24" s="72">
        <f t="shared" si="14"/>
        <v>48</v>
      </c>
      <c r="R24" s="91">
        <f t="shared" si="2"/>
        <v>8</v>
      </c>
      <c r="S24" s="72">
        <f t="shared" si="15"/>
        <v>96</v>
      </c>
      <c r="T24" s="72">
        <f t="shared" si="3"/>
        <v>10</v>
      </c>
      <c r="U24" s="92">
        <f t="shared" si="4"/>
        <v>2017</v>
      </c>
      <c r="V24" s="93">
        <f t="shared" si="5"/>
        <v>9</v>
      </c>
      <c r="W24" s="94">
        <f t="shared" si="6"/>
        <v>2025</v>
      </c>
      <c r="X24" s="95">
        <v>0</v>
      </c>
      <c r="Y24" s="74">
        <f t="shared" si="51"/>
        <v>625000</v>
      </c>
      <c r="Z24" s="302">
        <v>45</v>
      </c>
      <c r="AA24" s="73">
        <v>12</v>
      </c>
      <c r="AB24" s="194">
        <f t="shared" si="52"/>
        <v>7500000</v>
      </c>
      <c r="AC24" s="194">
        <v>39375000</v>
      </c>
      <c r="AD24" s="194">
        <f t="shared" si="53"/>
        <v>20625000</v>
      </c>
      <c r="AE24" s="302">
        <f t="shared" si="54"/>
        <v>33</v>
      </c>
      <c r="AF24" s="73">
        <v>12</v>
      </c>
      <c r="AG24" s="194">
        <f t="shared" si="55"/>
        <v>7500000</v>
      </c>
      <c r="AH24" s="194">
        <f t="shared" si="76"/>
        <v>46875000</v>
      </c>
      <c r="AI24" s="194">
        <f t="shared" si="57"/>
        <v>13125000</v>
      </c>
      <c r="AJ24" s="302">
        <f t="shared" si="58"/>
        <v>21</v>
      </c>
      <c r="AK24" s="73">
        <v>12</v>
      </c>
      <c r="AL24" s="194">
        <f t="shared" si="77"/>
        <v>7500000</v>
      </c>
      <c r="AM24" s="194">
        <f t="shared" si="59"/>
        <v>54375000</v>
      </c>
      <c r="AN24" s="194">
        <f t="shared" si="60"/>
        <v>5625000</v>
      </c>
      <c r="AO24" s="302">
        <f t="shared" si="78"/>
        <v>9</v>
      </c>
      <c r="AP24" s="73">
        <v>9</v>
      </c>
      <c r="AQ24" s="194">
        <f t="shared" si="79"/>
        <v>5625000</v>
      </c>
      <c r="AR24" s="194">
        <f t="shared" si="61"/>
        <v>60000000</v>
      </c>
      <c r="AS24" s="194">
        <f t="shared" si="80"/>
        <v>0</v>
      </c>
      <c r="AT24" s="302">
        <f t="shared" si="81"/>
        <v>0</v>
      </c>
      <c r="AU24" s="73">
        <v>0</v>
      </c>
      <c r="AV24" s="194">
        <f t="shared" si="82"/>
        <v>0</v>
      </c>
      <c r="AW24" s="194">
        <f t="shared" si="62"/>
        <v>60000000</v>
      </c>
      <c r="AX24" s="194">
        <f t="shared" si="83"/>
        <v>0</v>
      </c>
      <c r="AZ24" s="202">
        <f t="shared" si="63"/>
        <v>0</v>
      </c>
      <c r="BA24" s="203">
        <f t="shared" si="64"/>
        <v>0</v>
      </c>
      <c r="BB24" s="203">
        <f t="shared" si="65"/>
        <v>0</v>
      </c>
      <c r="BC24" s="203">
        <f t="shared" si="66"/>
        <v>0</v>
      </c>
      <c r="BD24" s="203">
        <f t="shared" si="67"/>
        <v>0</v>
      </c>
      <c r="BE24" s="203">
        <f t="shared" si="68"/>
        <v>0</v>
      </c>
      <c r="BF24" s="203">
        <f t="shared" si="69"/>
        <v>0</v>
      </c>
      <c r="BG24" s="203">
        <f t="shared" si="70"/>
        <v>0</v>
      </c>
      <c r="BH24" s="203">
        <f t="shared" si="71"/>
        <v>0</v>
      </c>
      <c r="BI24" s="203">
        <f t="shared" si="72"/>
        <v>0</v>
      </c>
      <c r="BJ24" s="203">
        <f t="shared" si="73"/>
        <v>0</v>
      </c>
      <c r="BK24" s="203">
        <f t="shared" si="74"/>
        <v>0</v>
      </c>
      <c r="BL24" s="203">
        <f t="shared" si="75"/>
        <v>0</v>
      </c>
    </row>
    <row r="25" spans="2:64" x14ac:dyDescent="0.2">
      <c r="B25" s="68"/>
      <c r="C25" s="89">
        <v>43046</v>
      </c>
      <c r="D25" s="70"/>
      <c r="E25" s="71">
        <v>1</v>
      </c>
      <c r="F25" s="72" t="s">
        <v>59</v>
      </c>
      <c r="G25" s="90">
        <v>0.25</v>
      </c>
      <c r="H25" s="90">
        <v>0.125</v>
      </c>
      <c r="I25" s="74">
        <v>135000000</v>
      </c>
      <c r="J25" s="74"/>
      <c r="K25" s="74"/>
      <c r="L25" s="74">
        <f t="shared" si="0"/>
        <v>135000000</v>
      </c>
      <c r="M25" s="74"/>
      <c r="N25" s="74"/>
      <c r="O25" s="74">
        <f t="shared" si="1"/>
        <v>135000000</v>
      </c>
      <c r="P25" s="91">
        <f t="shared" si="13"/>
        <v>4</v>
      </c>
      <c r="Q25" s="72">
        <f t="shared" si="14"/>
        <v>48</v>
      </c>
      <c r="R25" s="91">
        <f t="shared" si="2"/>
        <v>8</v>
      </c>
      <c r="S25" s="72">
        <f t="shared" si="15"/>
        <v>96</v>
      </c>
      <c r="T25" s="72">
        <f t="shared" si="3"/>
        <v>11</v>
      </c>
      <c r="U25" s="92">
        <f t="shared" si="4"/>
        <v>2017</v>
      </c>
      <c r="V25" s="93">
        <f t="shared" si="5"/>
        <v>10</v>
      </c>
      <c r="W25" s="94">
        <f t="shared" si="6"/>
        <v>2025</v>
      </c>
      <c r="X25" s="95">
        <v>0</v>
      </c>
      <c r="Y25" s="74">
        <f t="shared" si="51"/>
        <v>1406250</v>
      </c>
      <c r="Z25" s="302">
        <v>46</v>
      </c>
      <c r="AA25" s="73">
        <v>12</v>
      </c>
      <c r="AB25" s="194">
        <f t="shared" si="52"/>
        <v>16875000</v>
      </c>
      <c r="AC25" s="194">
        <v>87187500</v>
      </c>
      <c r="AD25" s="194">
        <f t="shared" si="53"/>
        <v>47812500</v>
      </c>
      <c r="AE25" s="302">
        <f t="shared" si="54"/>
        <v>34</v>
      </c>
      <c r="AF25" s="73">
        <v>12</v>
      </c>
      <c r="AG25" s="194">
        <f t="shared" si="55"/>
        <v>16875000</v>
      </c>
      <c r="AH25" s="194">
        <f t="shared" si="76"/>
        <v>104062500</v>
      </c>
      <c r="AI25" s="194">
        <f t="shared" si="57"/>
        <v>30937500</v>
      </c>
      <c r="AJ25" s="302">
        <f t="shared" si="58"/>
        <v>22</v>
      </c>
      <c r="AK25" s="73">
        <v>12</v>
      </c>
      <c r="AL25" s="194">
        <f t="shared" si="77"/>
        <v>16875000</v>
      </c>
      <c r="AM25" s="194">
        <f t="shared" si="59"/>
        <v>120937500</v>
      </c>
      <c r="AN25" s="194">
        <f t="shared" si="60"/>
        <v>14062500</v>
      </c>
      <c r="AO25" s="302">
        <f t="shared" si="78"/>
        <v>10</v>
      </c>
      <c r="AP25" s="73">
        <v>10</v>
      </c>
      <c r="AQ25" s="194">
        <f t="shared" si="79"/>
        <v>14062500</v>
      </c>
      <c r="AR25" s="194">
        <f t="shared" si="61"/>
        <v>135000000</v>
      </c>
      <c r="AS25" s="194">
        <f t="shared" si="80"/>
        <v>0</v>
      </c>
      <c r="AT25" s="302">
        <f t="shared" si="81"/>
        <v>0</v>
      </c>
      <c r="AU25" s="73">
        <v>0</v>
      </c>
      <c r="AV25" s="194">
        <f t="shared" si="82"/>
        <v>0</v>
      </c>
      <c r="AW25" s="194">
        <f t="shared" si="62"/>
        <v>135000000</v>
      </c>
      <c r="AX25" s="194">
        <f t="shared" si="83"/>
        <v>0</v>
      </c>
      <c r="AZ25" s="202">
        <f t="shared" si="63"/>
        <v>0</v>
      </c>
      <c r="BA25" s="203">
        <f t="shared" si="64"/>
        <v>0</v>
      </c>
      <c r="BB25" s="203">
        <f t="shared" si="65"/>
        <v>0</v>
      </c>
      <c r="BC25" s="203">
        <f t="shared" si="66"/>
        <v>0</v>
      </c>
      <c r="BD25" s="203">
        <f t="shared" si="67"/>
        <v>0</v>
      </c>
      <c r="BE25" s="203">
        <f t="shared" si="68"/>
        <v>0</v>
      </c>
      <c r="BF25" s="203">
        <f t="shared" si="69"/>
        <v>0</v>
      </c>
      <c r="BG25" s="203">
        <f t="shared" si="70"/>
        <v>0</v>
      </c>
      <c r="BH25" s="203">
        <f t="shared" si="71"/>
        <v>0</v>
      </c>
      <c r="BI25" s="203">
        <f t="shared" si="72"/>
        <v>0</v>
      </c>
      <c r="BJ25" s="203">
        <f t="shared" si="73"/>
        <v>0</v>
      </c>
      <c r="BK25" s="203">
        <f t="shared" si="74"/>
        <v>0</v>
      </c>
      <c r="BL25" s="203">
        <f t="shared" si="75"/>
        <v>0</v>
      </c>
    </row>
    <row r="26" spans="2:64" s="11" customFormat="1" x14ac:dyDescent="0.2">
      <c r="B26" s="97"/>
      <c r="C26" s="257">
        <v>43143</v>
      </c>
      <c r="D26" s="258"/>
      <c r="E26" s="259">
        <v>1</v>
      </c>
      <c r="F26" s="260" t="s">
        <v>60</v>
      </c>
      <c r="G26" s="102">
        <v>0.25</v>
      </c>
      <c r="H26" s="102">
        <v>0.125</v>
      </c>
      <c r="I26" s="103"/>
      <c r="J26" s="103">
        <v>21400000</v>
      </c>
      <c r="K26" s="103"/>
      <c r="L26" s="103">
        <f>I26+J26-K26</f>
        <v>21400000</v>
      </c>
      <c r="M26" s="103"/>
      <c r="N26" s="103"/>
      <c r="O26" s="103">
        <f>L26+M26-N26</f>
        <v>21400000</v>
      </c>
      <c r="P26" s="104">
        <f t="shared" si="13"/>
        <v>4</v>
      </c>
      <c r="Q26" s="101">
        <f t="shared" si="14"/>
        <v>48</v>
      </c>
      <c r="R26" s="104">
        <f t="shared" si="2"/>
        <v>8</v>
      </c>
      <c r="S26" s="101">
        <f>R26*12</f>
        <v>96</v>
      </c>
      <c r="T26" s="101">
        <f t="shared" si="3"/>
        <v>2</v>
      </c>
      <c r="U26" s="105">
        <f t="shared" si="4"/>
        <v>2018</v>
      </c>
      <c r="V26" s="106">
        <f>IF(T26=1, 12, T26-1)</f>
        <v>1</v>
      </c>
      <c r="W26" s="107">
        <f>IF(T26=1,U26+R26-1,U26+R26)</f>
        <v>2026</v>
      </c>
      <c r="X26" s="108"/>
      <c r="Y26" s="103">
        <f t="shared" si="51"/>
        <v>222916.66666666666</v>
      </c>
      <c r="Z26" s="302">
        <v>49</v>
      </c>
      <c r="AA26" s="73">
        <v>12</v>
      </c>
      <c r="AB26" s="194">
        <f t="shared" si="52"/>
        <v>2675000</v>
      </c>
      <c r="AC26" s="194">
        <v>13152083.333333332</v>
      </c>
      <c r="AD26" s="194">
        <f t="shared" si="53"/>
        <v>8247916.6666666679</v>
      </c>
      <c r="AE26" s="302">
        <f t="shared" si="54"/>
        <v>37</v>
      </c>
      <c r="AF26" s="73">
        <v>12</v>
      </c>
      <c r="AG26" s="194">
        <f t="shared" si="55"/>
        <v>2675000</v>
      </c>
      <c r="AH26" s="194">
        <f t="shared" si="76"/>
        <v>15827083.333333332</v>
      </c>
      <c r="AI26" s="194">
        <f t="shared" si="57"/>
        <v>5572916.6666666679</v>
      </c>
      <c r="AJ26" s="302">
        <f t="shared" si="58"/>
        <v>25</v>
      </c>
      <c r="AK26" s="73">
        <v>12</v>
      </c>
      <c r="AL26" s="194">
        <f t="shared" si="77"/>
        <v>2675000</v>
      </c>
      <c r="AM26" s="194">
        <f t="shared" si="59"/>
        <v>18502083.333333332</v>
      </c>
      <c r="AN26" s="194">
        <f t="shared" si="60"/>
        <v>2897916.6666666679</v>
      </c>
      <c r="AO26" s="302">
        <f t="shared" si="78"/>
        <v>13</v>
      </c>
      <c r="AP26" s="73">
        <v>12</v>
      </c>
      <c r="AQ26" s="194">
        <f t="shared" si="79"/>
        <v>2675000</v>
      </c>
      <c r="AR26" s="194">
        <f>AM26+AQ26</f>
        <v>21177083.333333332</v>
      </c>
      <c r="AS26" s="194">
        <f>O26-AR26</f>
        <v>222916.66666666791</v>
      </c>
      <c r="AT26" s="302">
        <f t="shared" si="81"/>
        <v>1</v>
      </c>
      <c r="AU26" s="73">
        <v>1</v>
      </c>
      <c r="AV26" s="194">
        <f>AU26*Y26</f>
        <v>222916.66666666666</v>
      </c>
      <c r="AW26" s="194">
        <f>AR26+AV26</f>
        <v>21400000</v>
      </c>
      <c r="AX26" s="194">
        <f>O26-AW26</f>
        <v>0</v>
      </c>
      <c r="AZ26" s="202">
        <f t="shared" si="63"/>
        <v>222916.66666666666</v>
      </c>
      <c r="BA26" s="203">
        <f t="shared" ref="BA26:BA27" si="84">+Y26*1</f>
        <v>222916.66666666666</v>
      </c>
      <c r="BB26" s="203">
        <f t="shared" ref="BB26" si="85">+Y26*0</f>
        <v>0</v>
      </c>
      <c r="BC26" s="203">
        <f t="shared" ref="BC26" si="86">+Y26*0</f>
        <v>0</v>
      </c>
      <c r="BD26" s="203">
        <f t="shared" ref="BD26" si="87">+Y26*0</f>
        <v>0</v>
      </c>
      <c r="BE26" s="203">
        <f t="shared" ref="BE26" si="88">+Y26*0</f>
        <v>0</v>
      </c>
      <c r="BF26" s="203">
        <f t="shared" ref="BF26" si="89">+Y26*0</f>
        <v>0</v>
      </c>
      <c r="BG26" s="203">
        <f t="shared" ref="BG26" si="90">+Y26*0</f>
        <v>0</v>
      </c>
      <c r="BH26" s="203">
        <f t="shared" ref="BH26" si="91">+Y26*0</f>
        <v>0</v>
      </c>
      <c r="BI26" s="203">
        <f t="shared" ref="BI26" si="92">+Y26*0</f>
        <v>0</v>
      </c>
      <c r="BJ26" s="203">
        <f t="shared" ref="BJ26" si="93">+Y26*0</f>
        <v>0</v>
      </c>
      <c r="BK26" s="203">
        <f t="shared" ref="BK26" si="94">+Y26*0</f>
        <v>0</v>
      </c>
      <c r="BL26" s="203">
        <f t="shared" ref="BL26" si="95">+Y26*0</f>
        <v>0</v>
      </c>
    </row>
    <row r="27" spans="2:64" s="11" customFormat="1" x14ac:dyDescent="0.2">
      <c r="B27" s="97"/>
      <c r="C27" s="257">
        <v>43353</v>
      </c>
      <c r="D27" s="258"/>
      <c r="E27" s="259">
        <v>1</v>
      </c>
      <c r="F27" s="260" t="s">
        <v>61</v>
      </c>
      <c r="G27" s="102">
        <v>0.25</v>
      </c>
      <c r="H27" s="102">
        <v>0.125</v>
      </c>
      <c r="I27" s="103"/>
      <c r="J27" s="103">
        <v>27000000</v>
      </c>
      <c r="K27" s="103"/>
      <c r="L27" s="103">
        <f>I27+J27-K27</f>
        <v>27000000</v>
      </c>
      <c r="M27" s="103"/>
      <c r="N27" s="103"/>
      <c r="O27" s="103">
        <f>L27+M27-N27</f>
        <v>27000000</v>
      </c>
      <c r="P27" s="104">
        <f t="shared" si="13"/>
        <v>4</v>
      </c>
      <c r="Q27" s="101">
        <f t="shared" si="14"/>
        <v>48</v>
      </c>
      <c r="R27" s="104">
        <f t="shared" si="2"/>
        <v>8</v>
      </c>
      <c r="S27" s="101">
        <f>R27*12</f>
        <v>96</v>
      </c>
      <c r="T27" s="101">
        <f t="shared" si="3"/>
        <v>9</v>
      </c>
      <c r="U27" s="105">
        <f t="shared" si="4"/>
        <v>2018</v>
      </c>
      <c r="V27" s="106">
        <f>IF(T27=1, 12, T27-1)</f>
        <v>8</v>
      </c>
      <c r="W27" s="107">
        <f>IF(T27=1,U27+R27-1,U27+R27)</f>
        <v>2026</v>
      </c>
      <c r="X27" s="108"/>
      <c r="Y27" s="103">
        <f t="shared" si="51"/>
        <v>281250</v>
      </c>
      <c r="Z27" s="302">
        <v>56</v>
      </c>
      <c r="AA27" s="73">
        <v>12</v>
      </c>
      <c r="AB27" s="194">
        <f t="shared" si="52"/>
        <v>3375000</v>
      </c>
      <c r="AC27" s="194">
        <v>14625000</v>
      </c>
      <c r="AD27" s="194">
        <f t="shared" si="53"/>
        <v>12375000</v>
      </c>
      <c r="AE27" s="302">
        <f t="shared" si="54"/>
        <v>44</v>
      </c>
      <c r="AF27" s="73">
        <v>12</v>
      </c>
      <c r="AG27" s="194">
        <f t="shared" si="55"/>
        <v>3375000</v>
      </c>
      <c r="AH27" s="194">
        <f t="shared" si="76"/>
        <v>18000000</v>
      </c>
      <c r="AI27" s="194">
        <f t="shared" si="57"/>
        <v>9000000</v>
      </c>
      <c r="AJ27" s="302">
        <f t="shared" si="58"/>
        <v>32</v>
      </c>
      <c r="AK27" s="73">
        <v>12</v>
      </c>
      <c r="AL27" s="194">
        <f t="shared" si="77"/>
        <v>3375000</v>
      </c>
      <c r="AM27" s="194">
        <f t="shared" si="59"/>
        <v>21375000</v>
      </c>
      <c r="AN27" s="194">
        <f t="shared" si="60"/>
        <v>5625000</v>
      </c>
      <c r="AO27" s="302">
        <f t="shared" si="78"/>
        <v>20</v>
      </c>
      <c r="AP27" s="73">
        <v>12</v>
      </c>
      <c r="AQ27" s="194">
        <f t="shared" si="79"/>
        <v>3375000</v>
      </c>
      <c r="AR27" s="194">
        <f t="shared" si="61"/>
        <v>24750000</v>
      </c>
      <c r="AS27" s="194">
        <f t="shared" si="80"/>
        <v>2250000</v>
      </c>
      <c r="AT27" s="302">
        <f t="shared" si="81"/>
        <v>8</v>
      </c>
      <c r="AU27" s="73">
        <v>8</v>
      </c>
      <c r="AV27" s="194">
        <f>AU27*Y27</f>
        <v>2250000</v>
      </c>
      <c r="AW27" s="194">
        <f t="shared" si="62"/>
        <v>27000000</v>
      </c>
      <c r="AX27" s="194">
        <f>O27-AW27</f>
        <v>0</v>
      </c>
      <c r="AZ27" s="202">
        <f t="shared" si="63"/>
        <v>2250000</v>
      </c>
      <c r="BA27" s="203">
        <f t="shared" si="84"/>
        <v>281250</v>
      </c>
      <c r="BB27" s="203">
        <f t="shared" ref="BB27" si="96">+Y27*1</f>
        <v>281250</v>
      </c>
      <c r="BC27" s="203">
        <f t="shared" ref="BC27" si="97">+Y27*1</f>
        <v>281250</v>
      </c>
      <c r="BD27" s="203">
        <f t="shared" ref="BD27" si="98">+Y27*1</f>
        <v>281250</v>
      </c>
      <c r="BE27" s="203">
        <f t="shared" ref="BE27" si="99">+Y27*1</f>
        <v>281250</v>
      </c>
      <c r="BF27" s="203">
        <f t="shared" ref="BF27" si="100">+Y27*1</f>
        <v>281250</v>
      </c>
      <c r="BG27" s="203">
        <f t="shared" ref="BG27" si="101">+Y27*1</f>
        <v>281250</v>
      </c>
      <c r="BH27" s="203">
        <f t="shared" ref="BH27" si="102">+Y27*1</f>
        <v>281250</v>
      </c>
      <c r="BI27" s="203">
        <f t="shared" ref="BI27" si="103">+Y27*0</f>
        <v>0</v>
      </c>
      <c r="BJ27" s="203">
        <f t="shared" ref="BJ27" si="104">+Y27*0</f>
        <v>0</v>
      </c>
      <c r="BK27" s="203">
        <f t="shared" ref="BK27" si="105">+Y27*0</f>
        <v>0</v>
      </c>
      <c r="BL27" s="203">
        <f t="shared" ref="BL27" si="106">+Y27*0</f>
        <v>0</v>
      </c>
    </row>
    <row r="28" spans="2:64" x14ac:dyDescent="0.2">
      <c r="B28" s="68"/>
      <c r="C28" s="89"/>
      <c r="D28" s="70"/>
      <c r="E28" s="71"/>
      <c r="F28" s="72"/>
      <c r="G28" s="72"/>
      <c r="H28" s="90"/>
      <c r="I28" s="74"/>
      <c r="J28" s="74"/>
      <c r="K28" s="74"/>
      <c r="L28" s="74"/>
      <c r="M28" s="74"/>
      <c r="N28" s="74"/>
      <c r="O28" s="74"/>
      <c r="P28" s="91"/>
      <c r="Q28" s="72"/>
      <c r="R28" s="91"/>
      <c r="S28" s="72"/>
      <c r="T28" s="72"/>
      <c r="U28" s="92"/>
      <c r="V28" s="93"/>
      <c r="W28" s="94"/>
      <c r="X28" s="95"/>
      <c r="Y28" s="74"/>
      <c r="Z28" s="74"/>
      <c r="AA28" s="73"/>
      <c r="AB28" s="96"/>
      <c r="AC28" s="96"/>
      <c r="AD28" s="96"/>
      <c r="AE28" s="238"/>
      <c r="AF28" s="73"/>
      <c r="AG28" s="96"/>
      <c r="AH28" s="96"/>
      <c r="AI28" s="96"/>
      <c r="AJ28" s="238"/>
      <c r="AK28" s="73"/>
      <c r="AL28" s="96"/>
      <c r="AM28" s="96"/>
      <c r="AN28" s="194"/>
      <c r="AO28" s="238"/>
      <c r="AP28" s="73"/>
      <c r="AQ28" s="96"/>
      <c r="AR28" s="96"/>
      <c r="AS28" s="194"/>
      <c r="AT28" s="238"/>
      <c r="AU28" s="73"/>
      <c r="AV28" s="96"/>
      <c r="AW28" s="96"/>
      <c r="AX28" s="194"/>
      <c r="AZ28" s="236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</row>
    <row r="29" spans="2:64" x14ac:dyDescent="0.2">
      <c r="B29" s="68"/>
      <c r="C29" s="257">
        <v>44773</v>
      </c>
      <c r="D29" s="70"/>
      <c r="E29" s="314">
        <v>1</v>
      </c>
      <c r="F29" s="315" t="s">
        <v>378</v>
      </c>
      <c r="G29" s="102">
        <v>0.125</v>
      </c>
      <c r="H29" s="102">
        <v>0.125</v>
      </c>
      <c r="I29" s="74"/>
      <c r="J29" s="74"/>
      <c r="K29" s="74"/>
      <c r="L29" s="316">
        <v>240000000</v>
      </c>
      <c r="M29" s="74"/>
      <c r="N29" s="74"/>
      <c r="O29" s="74">
        <f>+L29</f>
        <v>240000000</v>
      </c>
      <c r="P29" s="91"/>
      <c r="Q29" s="72"/>
      <c r="R29" s="104">
        <f t="shared" ref="R29" si="107">100%/H29</f>
        <v>8</v>
      </c>
      <c r="S29" s="101">
        <f>R29*12</f>
        <v>96</v>
      </c>
      <c r="T29" s="101">
        <f t="shared" ref="T29" si="108">MONTH(C29)</f>
        <v>7</v>
      </c>
      <c r="U29" s="105">
        <f t="shared" ref="U29" si="109">YEAR(C29)</f>
        <v>2022</v>
      </c>
      <c r="V29" s="106">
        <f>IF(T29=1, 12, T29-1)</f>
        <v>6</v>
      </c>
      <c r="W29" s="107">
        <f>IF(T29=1,U29+R29-1,U29+R29)</f>
        <v>2030</v>
      </c>
      <c r="X29" s="108"/>
      <c r="Y29" s="103">
        <f t="shared" ref="Y29" si="110">L29/S29</f>
        <v>2500000</v>
      </c>
      <c r="Z29" s="324">
        <v>90</v>
      </c>
      <c r="AA29" s="73">
        <v>6</v>
      </c>
      <c r="AB29" s="96">
        <f>AA29*Y29</f>
        <v>15000000</v>
      </c>
      <c r="AC29" s="96">
        <v>15000000</v>
      </c>
      <c r="AD29" s="96">
        <f>L29-AC29</f>
        <v>225000000</v>
      </c>
      <c r="AE29" s="302">
        <f t="shared" ref="AE29:AE32" si="111">+Z29-AA29</f>
        <v>84</v>
      </c>
      <c r="AF29" s="73">
        <v>12</v>
      </c>
      <c r="AG29" s="194">
        <f>AF29*Y29</f>
        <v>30000000</v>
      </c>
      <c r="AH29" s="194">
        <f t="shared" ref="AH29:AH32" si="112">AC29+AG29</f>
        <v>45000000</v>
      </c>
      <c r="AI29" s="194">
        <f>O29-AH29</f>
        <v>195000000</v>
      </c>
      <c r="AJ29" s="302">
        <f>+AE29-AF29</f>
        <v>72</v>
      </c>
      <c r="AK29" s="73">
        <v>12</v>
      </c>
      <c r="AL29" s="194">
        <f t="shared" ref="AL29:AL32" si="113">AK29*Y29</f>
        <v>30000000</v>
      </c>
      <c r="AM29" s="194">
        <f t="shared" ref="AM29:AM32" si="114">AH29+AL29</f>
        <v>75000000</v>
      </c>
      <c r="AN29" s="194">
        <f t="shared" ref="AN29:AN32" si="115">O29-AM29</f>
        <v>165000000</v>
      </c>
      <c r="AO29" s="302">
        <f>+AJ29-AK29</f>
        <v>60</v>
      </c>
      <c r="AP29" s="73">
        <v>7</v>
      </c>
      <c r="AQ29" s="318">
        <f t="shared" ref="AQ29:AQ32" si="116">AP29*Y29</f>
        <v>17500000</v>
      </c>
      <c r="AR29" s="318">
        <f t="shared" ref="AR29:AR32" si="117">AM29+AQ29</f>
        <v>92500000</v>
      </c>
      <c r="AS29" s="318">
        <f>O29-AR29</f>
        <v>147500000</v>
      </c>
      <c r="AT29" s="302">
        <v>0</v>
      </c>
      <c r="AU29" s="73">
        <v>0</v>
      </c>
      <c r="AV29" s="318">
        <f t="shared" ref="AV29" si="118">AU29*AD29</f>
        <v>0</v>
      </c>
      <c r="AW29" s="318">
        <v>0</v>
      </c>
      <c r="AX29" s="318">
        <v>0</v>
      </c>
      <c r="AY29" s="11"/>
      <c r="AZ29" s="202">
        <f t="shared" ref="AZ29" si="119">SUM(BA29:BL29)</f>
        <v>0</v>
      </c>
      <c r="BA29" s="203">
        <f t="shared" ref="BA29" si="120">+Y29*0</f>
        <v>0</v>
      </c>
      <c r="BB29" s="203">
        <f t="shared" ref="BB29" si="121">+Y29*0</f>
        <v>0</v>
      </c>
      <c r="BC29" s="203">
        <f t="shared" ref="BC29" si="122">+Y29*0</f>
        <v>0</v>
      </c>
      <c r="BD29" s="203">
        <f t="shared" ref="BD29" si="123">+Y29*0</f>
        <v>0</v>
      </c>
      <c r="BE29" s="203">
        <f t="shared" ref="BE29" si="124">+Y29*0</f>
        <v>0</v>
      </c>
      <c r="BF29" s="203">
        <f t="shared" ref="BF29" si="125">+Y29*0</f>
        <v>0</v>
      </c>
      <c r="BG29" s="203">
        <f t="shared" ref="BG29" si="126">+Y29*0</f>
        <v>0</v>
      </c>
      <c r="BH29" s="203">
        <f t="shared" ref="BH29" si="127">+Y29*0</f>
        <v>0</v>
      </c>
      <c r="BI29" s="203">
        <f t="shared" ref="BI29" si="128">+Y29*0</f>
        <v>0</v>
      </c>
      <c r="BJ29" s="203">
        <f t="shared" ref="BJ29" si="129">+Y29*0</f>
        <v>0</v>
      </c>
      <c r="BK29" s="203">
        <f>+Y29*0</f>
        <v>0</v>
      </c>
      <c r="BL29" s="203">
        <f>+Y29*0</f>
        <v>0</v>
      </c>
    </row>
    <row r="30" spans="2:64" x14ac:dyDescent="0.2">
      <c r="B30" s="68"/>
      <c r="C30" s="257">
        <v>44837</v>
      </c>
      <c r="D30" s="70"/>
      <c r="E30" s="71">
        <v>2</v>
      </c>
      <c r="F30" s="72" t="s">
        <v>384</v>
      </c>
      <c r="G30" s="102">
        <v>0.125</v>
      </c>
      <c r="H30" s="102">
        <v>0.125</v>
      </c>
      <c r="I30" s="74"/>
      <c r="J30" s="74"/>
      <c r="K30" s="74"/>
      <c r="L30" s="74">
        <v>525798600</v>
      </c>
      <c r="M30" s="74"/>
      <c r="N30" s="74"/>
      <c r="O30" s="74">
        <f>+L30</f>
        <v>525798600</v>
      </c>
      <c r="P30" s="91"/>
      <c r="Q30" s="72"/>
      <c r="R30" s="104">
        <f t="shared" ref="R30" si="130">100%/H30</f>
        <v>8</v>
      </c>
      <c r="S30" s="101">
        <f>R30*12</f>
        <v>96</v>
      </c>
      <c r="T30" s="101">
        <f t="shared" ref="T30" si="131">MONTH(C30)</f>
        <v>10</v>
      </c>
      <c r="U30" s="105">
        <f t="shared" ref="U30" si="132">YEAR(C30)</f>
        <v>2022</v>
      </c>
      <c r="V30" s="106">
        <f>IF(T30=1, 12, T30-1)</f>
        <v>9</v>
      </c>
      <c r="W30" s="107">
        <f>IF(T30=1,U30+R30-1,U30+R30)</f>
        <v>2030</v>
      </c>
      <c r="X30" s="108"/>
      <c r="Y30" s="103">
        <f t="shared" ref="Y30" si="133">L30/S30</f>
        <v>5477068.75</v>
      </c>
      <c r="Z30" s="324">
        <v>93</v>
      </c>
      <c r="AA30" s="73">
        <v>3</v>
      </c>
      <c r="AB30" s="96">
        <f>AA30*Y30</f>
        <v>16431206.25</v>
      </c>
      <c r="AC30" s="96">
        <v>16431206.25</v>
      </c>
      <c r="AD30" s="96">
        <f>L30-AC30</f>
        <v>509367393.75</v>
      </c>
      <c r="AE30" s="302">
        <f t="shared" si="111"/>
        <v>90</v>
      </c>
      <c r="AF30" s="73">
        <v>12</v>
      </c>
      <c r="AG30" s="194">
        <f>AF30*Y30</f>
        <v>65724825</v>
      </c>
      <c r="AH30" s="194">
        <f t="shared" si="112"/>
        <v>82156031.25</v>
      </c>
      <c r="AI30" s="194">
        <f>O30-AH30</f>
        <v>443642568.75</v>
      </c>
      <c r="AJ30" s="302">
        <f t="shared" ref="AJ30:AJ32" si="134">+AE30-AF30</f>
        <v>78</v>
      </c>
      <c r="AK30" s="73">
        <v>12</v>
      </c>
      <c r="AL30" s="194">
        <f t="shared" si="113"/>
        <v>65724825</v>
      </c>
      <c r="AM30" s="194">
        <f t="shared" si="114"/>
        <v>147880856.25</v>
      </c>
      <c r="AN30" s="194">
        <f t="shared" si="115"/>
        <v>377917743.75</v>
      </c>
      <c r="AO30" s="302">
        <f t="shared" ref="AO30:AO32" si="135">+AJ30-AK30</f>
        <v>66</v>
      </c>
      <c r="AP30" s="73">
        <v>12</v>
      </c>
      <c r="AQ30" s="194">
        <f t="shared" si="116"/>
        <v>65724825</v>
      </c>
      <c r="AR30" s="194">
        <f t="shared" si="117"/>
        <v>213605681.25</v>
      </c>
      <c r="AS30" s="194">
        <f t="shared" ref="AS30:AS32" si="136">O30-AR30</f>
        <v>312192918.75</v>
      </c>
      <c r="AT30" s="302">
        <f t="shared" ref="AT30:AT32" si="137">+AO30-AP30</f>
        <v>54</v>
      </c>
      <c r="AU30" s="73">
        <v>12</v>
      </c>
      <c r="AV30" s="194">
        <f t="shared" ref="AV30:AV32" si="138">AU30*Y30</f>
        <v>65724825</v>
      </c>
      <c r="AW30" s="194">
        <f t="shared" ref="AW30:AW32" si="139">AR30+AV30</f>
        <v>279330506.25</v>
      </c>
      <c r="AX30" s="194">
        <f t="shared" ref="AX30:AX32" si="140">O30-AW30</f>
        <v>246468093.75</v>
      </c>
      <c r="AY30" s="11"/>
      <c r="AZ30" s="202">
        <f t="shared" ref="AZ30" si="141">SUM(BA30:BL30)</f>
        <v>65724825</v>
      </c>
      <c r="BA30" s="203">
        <f t="shared" ref="BA30:BA32" si="142">+Y30*1</f>
        <v>5477068.75</v>
      </c>
      <c r="BB30" s="203">
        <f t="shared" ref="BB30:BB32" si="143">+Y30*1</f>
        <v>5477068.75</v>
      </c>
      <c r="BC30" s="203">
        <f t="shared" ref="BC30:BC32" si="144">+Y30*1</f>
        <v>5477068.75</v>
      </c>
      <c r="BD30" s="203">
        <f t="shared" ref="BD30:BD32" si="145">+Y30*1</f>
        <v>5477068.75</v>
      </c>
      <c r="BE30" s="203">
        <f t="shared" ref="BE30:BE32" si="146">+Y30*1</f>
        <v>5477068.75</v>
      </c>
      <c r="BF30" s="203">
        <f t="shared" ref="BF30:BF32" si="147">+Y30*1</f>
        <v>5477068.75</v>
      </c>
      <c r="BG30" s="203">
        <f t="shared" ref="BG30:BG32" si="148">+Y30*1</f>
        <v>5477068.75</v>
      </c>
      <c r="BH30" s="203">
        <f t="shared" ref="BH30:BH32" si="149">+Y30*1</f>
        <v>5477068.75</v>
      </c>
      <c r="BI30" s="203">
        <f t="shared" ref="BI30:BI32" si="150">+Y30*1</f>
        <v>5477068.75</v>
      </c>
      <c r="BJ30" s="203">
        <f t="shared" ref="BJ30:BJ32" si="151">+Y30*1</f>
        <v>5477068.75</v>
      </c>
      <c r="BK30" s="203">
        <f t="shared" ref="BK30:BK32" si="152">+Y30*1</f>
        <v>5477068.75</v>
      </c>
      <c r="BL30" s="203">
        <f t="shared" ref="BL30:BL32" si="153">+Y30*1</f>
        <v>5477068.75</v>
      </c>
    </row>
    <row r="31" spans="2:64" x14ac:dyDescent="0.2">
      <c r="B31" s="68"/>
      <c r="C31" s="257">
        <v>44868</v>
      </c>
      <c r="D31" s="70"/>
      <c r="E31" s="71">
        <v>2</v>
      </c>
      <c r="F31" s="72" t="s">
        <v>384</v>
      </c>
      <c r="G31" s="102">
        <v>0.125</v>
      </c>
      <c r="H31" s="102">
        <v>0.125</v>
      </c>
      <c r="I31" s="74"/>
      <c r="J31" s="74"/>
      <c r="K31" s="74"/>
      <c r="L31" s="74">
        <v>525798600</v>
      </c>
      <c r="M31" s="74"/>
      <c r="N31" s="74"/>
      <c r="O31" s="74">
        <f>+L31</f>
        <v>525798600</v>
      </c>
      <c r="P31" s="91"/>
      <c r="Q31" s="72"/>
      <c r="R31" s="104">
        <f t="shared" ref="R31" si="154">100%/H31</f>
        <v>8</v>
      </c>
      <c r="S31" s="101">
        <f>R31*12</f>
        <v>96</v>
      </c>
      <c r="T31" s="101">
        <f t="shared" ref="T31" si="155">MONTH(C31)</f>
        <v>11</v>
      </c>
      <c r="U31" s="105">
        <f t="shared" ref="U31" si="156">YEAR(C31)</f>
        <v>2022</v>
      </c>
      <c r="V31" s="106">
        <f>IF(T31=1, 12, T31-1)</f>
        <v>10</v>
      </c>
      <c r="W31" s="107">
        <f>IF(T31=1,U31+R31-1,U31+R31)</f>
        <v>2030</v>
      </c>
      <c r="X31" s="108"/>
      <c r="Y31" s="103">
        <f t="shared" ref="Y31" si="157">L31/S31</f>
        <v>5477068.75</v>
      </c>
      <c r="Z31" s="324">
        <v>94</v>
      </c>
      <c r="AA31" s="73">
        <v>2</v>
      </c>
      <c r="AB31" s="96">
        <f>AA31*Y31</f>
        <v>10954137.5</v>
      </c>
      <c r="AC31" s="96">
        <v>10954137.5</v>
      </c>
      <c r="AD31" s="96">
        <f>L31-AC31</f>
        <v>514844462.5</v>
      </c>
      <c r="AE31" s="302">
        <f t="shared" si="111"/>
        <v>92</v>
      </c>
      <c r="AF31" s="73">
        <v>12</v>
      </c>
      <c r="AG31" s="194">
        <f>AF31*Y31</f>
        <v>65724825</v>
      </c>
      <c r="AH31" s="194">
        <f t="shared" si="112"/>
        <v>76678962.5</v>
      </c>
      <c r="AI31" s="194">
        <f>O31-AH31</f>
        <v>449119637.5</v>
      </c>
      <c r="AJ31" s="302">
        <f t="shared" si="134"/>
        <v>80</v>
      </c>
      <c r="AK31" s="73">
        <v>12</v>
      </c>
      <c r="AL31" s="194">
        <f t="shared" si="113"/>
        <v>65724825</v>
      </c>
      <c r="AM31" s="194">
        <f t="shared" si="114"/>
        <v>142403787.5</v>
      </c>
      <c r="AN31" s="194">
        <f t="shared" si="115"/>
        <v>383394812.5</v>
      </c>
      <c r="AO31" s="302">
        <f t="shared" si="135"/>
        <v>68</v>
      </c>
      <c r="AP31" s="73">
        <v>12</v>
      </c>
      <c r="AQ31" s="194">
        <f t="shared" si="116"/>
        <v>65724825</v>
      </c>
      <c r="AR31" s="194">
        <f t="shared" si="117"/>
        <v>208128612.5</v>
      </c>
      <c r="AS31" s="194">
        <f t="shared" si="136"/>
        <v>317669987.5</v>
      </c>
      <c r="AT31" s="302">
        <f t="shared" si="137"/>
        <v>56</v>
      </c>
      <c r="AU31" s="73">
        <v>12</v>
      </c>
      <c r="AV31" s="194">
        <f t="shared" si="138"/>
        <v>65724825</v>
      </c>
      <c r="AW31" s="194">
        <f t="shared" si="139"/>
        <v>273853437.5</v>
      </c>
      <c r="AX31" s="194">
        <f t="shared" si="140"/>
        <v>251945162.5</v>
      </c>
      <c r="AY31" s="11"/>
      <c r="AZ31" s="202">
        <f t="shared" ref="AZ31" si="158">SUM(BA31:BL31)</f>
        <v>65724825</v>
      </c>
      <c r="BA31" s="203">
        <f t="shared" si="142"/>
        <v>5477068.75</v>
      </c>
      <c r="BB31" s="203">
        <f t="shared" si="143"/>
        <v>5477068.75</v>
      </c>
      <c r="BC31" s="203">
        <f t="shared" si="144"/>
        <v>5477068.75</v>
      </c>
      <c r="BD31" s="203">
        <f t="shared" si="145"/>
        <v>5477068.75</v>
      </c>
      <c r="BE31" s="203">
        <f t="shared" si="146"/>
        <v>5477068.75</v>
      </c>
      <c r="BF31" s="203">
        <f t="shared" si="147"/>
        <v>5477068.75</v>
      </c>
      <c r="BG31" s="203">
        <f t="shared" si="148"/>
        <v>5477068.75</v>
      </c>
      <c r="BH31" s="203">
        <f t="shared" si="149"/>
        <v>5477068.75</v>
      </c>
      <c r="BI31" s="203">
        <f t="shared" si="150"/>
        <v>5477068.75</v>
      </c>
      <c r="BJ31" s="203">
        <f t="shared" si="151"/>
        <v>5477068.75</v>
      </c>
      <c r="BK31" s="203">
        <f t="shared" si="152"/>
        <v>5477068.75</v>
      </c>
      <c r="BL31" s="203">
        <f t="shared" si="153"/>
        <v>5477068.75</v>
      </c>
    </row>
    <row r="32" spans="2:64" x14ac:dyDescent="0.2">
      <c r="B32" s="68"/>
      <c r="C32" s="257">
        <v>44917</v>
      </c>
      <c r="D32" s="70"/>
      <c r="E32" s="71">
        <v>3</v>
      </c>
      <c r="F32" s="72" t="s">
        <v>384</v>
      </c>
      <c r="G32" s="102">
        <v>0.125</v>
      </c>
      <c r="H32" s="102">
        <v>0.125</v>
      </c>
      <c r="I32" s="74"/>
      <c r="J32" s="74"/>
      <c r="K32" s="74"/>
      <c r="L32" s="74">
        <v>788697900</v>
      </c>
      <c r="M32" s="74"/>
      <c r="N32" s="74"/>
      <c r="O32" s="74">
        <f>+L32</f>
        <v>788697900</v>
      </c>
      <c r="P32" s="91"/>
      <c r="Q32" s="72"/>
      <c r="R32" s="104">
        <f t="shared" ref="R32" si="159">100%/H32</f>
        <v>8</v>
      </c>
      <c r="S32" s="101">
        <f>R32*12</f>
        <v>96</v>
      </c>
      <c r="T32" s="101">
        <f t="shared" ref="T32" si="160">MONTH(C32)</f>
        <v>12</v>
      </c>
      <c r="U32" s="105">
        <f t="shared" ref="U32" si="161">YEAR(C32)</f>
        <v>2022</v>
      </c>
      <c r="V32" s="106">
        <f>IF(T32=1, 12, T32-1)</f>
        <v>11</v>
      </c>
      <c r="W32" s="107">
        <f>IF(T32=1,U32+R32-1,U32+R32)</f>
        <v>2030</v>
      </c>
      <c r="X32" s="108"/>
      <c r="Y32" s="103">
        <f t="shared" ref="Y32" si="162">L32/S32</f>
        <v>8215603.125</v>
      </c>
      <c r="Z32" s="324">
        <v>95</v>
      </c>
      <c r="AA32" s="73">
        <v>1</v>
      </c>
      <c r="AB32" s="96">
        <f>AA32*Y32</f>
        <v>8215603.125</v>
      </c>
      <c r="AC32" s="96">
        <v>8215603.125</v>
      </c>
      <c r="AD32" s="96">
        <f>L32-AC32</f>
        <v>780482296.875</v>
      </c>
      <c r="AE32" s="302">
        <f t="shared" si="111"/>
        <v>94</v>
      </c>
      <c r="AF32" s="73">
        <v>12</v>
      </c>
      <c r="AG32" s="194">
        <f>AF32*Y32</f>
        <v>98587237.5</v>
      </c>
      <c r="AH32" s="194">
        <f t="shared" si="112"/>
        <v>106802840.625</v>
      </c>
      <c r="AI32" s="194">
        <f>O32-AH32</f>
        <v>681895059.375</v>
      </c>
      <c r="AJ32" s="302">
        <f t="shared" si="134"/>
        <v>82</v>
      </c>
      <c r="AK32" s="73">
        <v>12</v>
      </c>
      <c r="AL32" s="194">
        <f t="shared" si="113"/>
        <v>98587237.5</v>
      </c>
      <c r="AM32" s="194">
        <f t="shared" si="114"/>
        <v>205390078.125</v>
      </c>
      <c r="AN32" s="194">
        <f t="shared" si="115"/>
        <v>583307821.875</v>
      </c>
      <c r="AO32" s="302">
        <f t="shared" si="135"/>
        <v>70</v>
      </c>
      <c r="AP32" s="73">
        <v>12</v>
      </c>
      <c r="AQ32" s="194">
        <f t="shared" si="116"/>
        <v>98587237.5</v>
      </c>
      <c r="AR32" s="194">
        <f t="shared" si="117"/>
        <v>303977315.625</v>
      </c>
      <c r="AS32" s="194">
        <f t="shared" si="136"/>
        <v>484720584.375</v>
      </c>
      <c r="AT32" s="302">
        <f t="shared" si="137"/>
        <v>58</v>
      </c>
      <c r="AU32" s="73">
        <v>12</v>
      </c>
      <c r="AV32" s="194">
        <f t="shared" si="138"/>
        <v>98587237.5</v>
      </c>
      <c r="AW32" s="194">
        <f t="shared" si="139"/>
        <v>402564553.125</v>
      </c>
      <c r="AX32" s="194">
        <f t="shared" si="140"/>
        <v>386133346.875</v>
      </c>
      <c r="AY32" s="11"/>
      <c r="AZ32" s="202">
        <f t="shared" ref="AZ32" si="163">SUM(BA32:BL32)</f>
        <v>98587237.5</v>
      </c>
      <c r="BA32" s="203">
        <f t="shared" si="142"/>
        <v>8215603.125</v>
      </c>
      <c r="BB32" s="203">
        <f t="shared" si="143"/>
        <v>8215603.125</v>
      </c>
      <c r="BC32" s="203">
        <f t="shared" si="144"/>
        <v>8215603.125</v>
      </c>
      <c r="BD32" s="203">
        <f t="shared" si="145"/>
        <v>8215603.125</v>
      </c>
      <c r="BE32" s="203">
        <f t="shared" si="146"/>
        <v>8215603.125</v>
      </c>
      <c r="BF32" s="203">
        <f t="shared" si="147"/>
        <v>8215603.125</v>
      </c>
      <c r="BG32" s="203">
        <f t="shared" si="148"/>
        <v>8215603.125</v>
      </c>
      <c r="BH32" s="203">
        <f t="shared" si="149"/>
        <v>8215603.125</v>
      </c>
      <c r="BI32" s="203">
        <f t="shared" si="150"/>
        <v>8215603.125</v>
      </c>
      <c r="BJ32" s="203">
        <f t="shared" si="151"/>
        <v>8215603.125</v>
      </c>
      <c r="BK32" s="203">
        <f t="shared" si="152"/>
        <v>8215603.125</v>
      </c>
      <c r="BL32" s="203">
        <f t="shared" si="153"/>
        <v>8215603.125</v>
      </c>
    </row>
    <row r="33" spans="2:64" x14ac:dyDescent="0.2">
      <c r="B33" s="68"/>
      <c r="C33" s="257"/>
      <c r="D33" s="70"/>
      <c r="E33" s="71"/>
      <c r="F33" s="72"/>
      <c r="G33" s="72"/>
      <c r="H33" s="90"/>
      <c r="I33" s="74"/>
      <c r="J33" s="74"/>
      <c r="K33" s="74"/>
      <c r="L33" s="74"/>
      <c r="M33" s="74"/>
      <c r="N33" s="74"/>
      <c r="O33" s="74"/>
      <c r="P33" s="91"/>
      <c r="Q33" s="72"/>
      <c r="R33" s="91"/>
      <c r="S33" s="72"/>
      <c r="T33" s="72"/>
      <c r="U33" s="92"/>
      <c r="V33" s="93"/>
      <c r="W33" s="94"/>
      <c r="X33" s="95"/>
      <c r="Y33" s="74"/>
      <c r="Z33" s="74"/>
      <c r="AA33" s="73"/>
      <c r="AB33" s="96"/>
      <c r="AC33" s="96"/>
      <c r="AD33" s="96"/>
      <c r="AE33" s="74"/>
      <c r="AF33" s="73"/>
      <c r="AG33" s="96"/>
      <c r="AH33" s="96"/>
      <c r="AI33" s="96"/>
      <c r="AJ33" s="74"/>
      <c r="AK33" s="73"/>
      <c r="AL33" s="96"/>
      <c r="AM33" s="96"/>
      <c r="AN33" s="96"/>
      <c r="AO33" s="74"/>
      <c r="AP33" s="73"/>
      <c r="AQ33" s="96"/>
      <c r="AR33" s="96"/>
      <c r="AS33" s="96"/>
      <c r="AT33" s="74"/>
      <c r="AU33" s="73"/>
      <c r="AV33" s="96"/>
      <c r="AW33" s="96"/>
      <c r="AX33" s="96"/>
      <c r="AZ33" s="236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</row>
    <row r="34" spans="2:64" x14ac:dyDescent="0.2">
      <c r="B34" s="68"/>
      <c r="C34" s="89"/>
      <c r="D34" s="70"/>
      <c r="E34" s="71"/>
      <c r="F34" s="72"/>
      <c r="G34" s="72"/>
      <c r="H34" s="90"/>
      <c r="I34" s="74"/>
      <c r="J34" s="74"/>
      <c r="K34" s="74"/>
      <c r="P34" s="91"/>
      <c r="Q34" s="72"/>
      <c r="R34" s="91"/>
      <c r="S34" s="72"/>
      <c r="T34" s="72"/>
      <c r="U34" s="92"/>
      <c r="V34" s="93"/>
      <c r="W34" s="94"/>
      <c r="X34" s="95"/>
      <c r="Y34" s="74"/>
      <c r="Z34" s="74"/>
      <c r="AA34" s="73"/>
      <c r="AB34" s="253"/>
      <c r="AC34" s="253"/>
      <c r="AD34" s="253"/>
      <c r="AE34" s="74"/>
      <c r="AF34" s="73"/>
      <c r="AG34" s="253"/>
      <c r="AH34" s="253"/>
      <c r="AI34" s="253"/>
      <c r="AJ34" s="74"/>
      <c r="AK34" s="73"/>
      <c r="AL34" s="253"/>
      <c r="AM34" s="253"/>
      <c r="AN34" s="253"/>
      <c r="AO34" s="74"/>
      <c r="AP34" s="73"/>
      <c r="AQ34" s="253"/>
      <c r="AR34" s="253"/>
      <c r="AS34" s="253"/>
      <c r="AT34" s="74"/>
      <c r="AU34" s="73"/>
      <c r="AV34" s="253"/>
      <c r="AW34" s="253"/>
      <c r="AX34" s="253"/>
      <c r="AZ34" s="301"/>
    </row>
    <row r="35" spans="2:64" x14ac:dyDescent="0.2">
      <c r="B35" s="68"/>
      <c r="C35" s="89"/>
      <c r="D35" s="70"/>
      <c r="E35" s="71"/>
      <c r="F35" s="72"/>
      <c r="G35" s="72"/>
      <c r="H35" s="90"/>
      <c r="I35" s="74"/>
      <c r="J35" s="74"/>
      <c r="K35" s="74"/>
      <c r="L35" s="118">
        <f>SUM(L12:L33)</f>
        <v>4099100297</v>
      </c>
      <c r="M35" s="74"/>
      <c r="N35" s="74"/>
      <c r="O35" s="118">
        <f>SUM(O12:O33)</f>
        <v>4099100297</v>
      </c>
      <c r="P35" s="91"/>
      <c r="Q35" s="72"/>
      <c r="R35" s="91"/>
      <c r="S35" s="72"/>
      <c r="T35" s="72"/>
      <c r="U35" s="92"/>
      <c r="V35" s="93"/>
      <c r="W35" s="94"/>
      <c r="X35" s="95"/>
      <c r="Y35" s="74"/>
      <c r="Z35" s="74"/>
      <c r="AA35" s="73"/>
      <c r="AB35" s="207">
        <f>SUM(AB12:AB33)</f>
        <v>196371334.69078946</v>
      </c>
      <c r="AC35" s="205">
        <f t="shared" ref="AC35:AD35" si="164">SUM(AC12:AC33)</f>
        <v>1707032980.10307</v>
      </c>
      <c r="AD35" s="205">
        <f t="shared" si="164"/>
        <v>2392067316.8969297</v>
      </c>
      <c r="AE35" s="74"/>
      <c r="AF35" s="73"/>
      <c r="AG35" s="207">
        <f>SUM(AG12:AG33)</f>
        <v>405807275.31578946</v>
      </c>
      <c r="AH35" s="205">
        <f t="shared" ref="AH35:AI35" si="165">SUM(AH12:AH33)</f>
        <v>2112840255.4188595</v>
      </c>
      <c r="AI35" s="205">
        <f t="shared" si="165"/>
        <v>1986260041.5811403</v>
      </c>
      <c r="AJ35" s="74"/>
      <c r="AK35" s="73"/>
      <c r="AL35" s="250">
        <f>SUM(AL12:AL33)</f>
        <v>402495505.03947365</v>
      </c>
      <c r="AM35" s="205">
        <f t="shared" ref="AM35:AN35" si="166">SUM(AM12:AM33)</f>
        <v>2515335760.4583335</v>
      </c>
      <c r="AN35" s="205">
        <f t="shared" si="166"/>
        <v>1583764536.5416665</v>
      </c>
      <c r="AO35" s="74"/>
      <c r="AP35" s="73"/>
      <c r="AQ35" s="250">
        <f>SUM(AQ12:AQ33)</f>
        <v>319208129.25</v>
      </c>
      <c r="AR35" s="205">
        <f>SUM(AR12:AR33)</f>
        <v>2287849447.708333</v>
      </c>
      <c r="AS35" s="205">
        <f t="shared" ref="AS35" si="167">SUM(AS12:AS33)</f>
        <v>1264556407.2916665</v>
      </c>
      <c r="AT35" s="74"/>
      <c r="AU35" s="73"/>
      <c r="AV35" s="250">
        <f>SUM(AV12:AV33)</f>
        <v>232509804.16666669</v>
      </c>
      <c r="AW35" s="205">
        <f>SUM(AW12:AW33)</f>
        <v>2427859251.875</v>
      </c>
      <c r="AX35" s="205">
        <f t="shared" ref="AX35" si="168">SUM(AX12:AX33)</f>
        <v>884546603.125</v>
      </c>
      <c r="AZ35" s="250">
        <f t="shared" ref="AZ35:BL35" si="169">SUM(AZ12:AZ33)</f>
        <v>232509804.16666669</v>
      </c>
      <c r="BA35" s="205">
        <f t="shared" si="169"/>
        <v>19673907.291666668</v>
      </c>
      <c r="BB35" s="205">
        <f t="shared" si="169"/>
        <v>19450990.625</v>
      </c>
      <c r="BC35" s="205">
        <f t="shared" si="169"/>
        <v>19450990.625</v>
      </c>
      <c r="BD35" s="205">
        <f t="shared" si="169"/>
        <v>19450990.625</v>
      </c>
      <c r="BE35" s="205">
        <f t="shared" si="169"/>
        <v>19450990.625</v>
      </c>
      <c r="BF35" s="205">
        <f t="shared" si="169"/>
        <v>19450990.625</v>
      </c>
      <c r="BG35" s="205">
        <f t="shared" si="169"/>
        <v>19450990.625</v>
      </c>
      <c r="BH35" s="205">
        <f t="shared" si="169"/>
        <v>19450990.625</v>
      </c>
      <c r="BI35" s="205">
        <f t="shared" si="169"/>
        <v>19169740.625</v>
      </c>
      <c r="BJ35" s="205">
        <f t="shared" si="169"/>
        <v>19169740.625</v>
      </c>
      <c r="BK35" s="205">
        <f t="shared" si="169"/>
        <v>19169740.625</v>
      </c>
      <c r="BL35" s="205">
        <f t="shared" si="169"/>
        <v>19169740.625</v>
      </c>
    </row>
    <row r="36" spans="2:64" x14ac:dyDescent="0.2">
      <c r="B36" s="68"/>
      <c r="C36" s="89"/>
      <c r="D36" s="70"/>
      <c r="E36" s="71"/>
      <c r="F36" s="72"/>
      <c r="G36" s="72"/>
      <c r="H36" s="90"/>
      <c r="I36" s="74"/>
      <c r="J36" s="74"/>
      <c r="K36" s="74"/>
      <c r="L36" s="74"/>
      <c r="M36" s="74"/>
      <c r="N36" s="74"/>
      <c r="O36" s="74"/>
      <c r="P36" s="91"/>
      <c r="Q36" s="72"/>
      <c r="R36" s="91"/>
      <c r="S36" s="72"/>
      <c r="T36" s="72"/>
      <c r="U36" s="92"/>
      <c r="V36" s="93"/>
      <c r="W36" s="94"/>
      <c r="X36" s="95"/>
      <c r="Y36" s="74"/>
      <c r="Z36" s="74"/>
      <c r="AA36" s="73"/>
      <c r="AB36" s="96"/>
      <c r="AC36" s="96"/>
      <c r="AD36" s="96"/>
      <c r="AE36" s="74"/>
      <c r="AF36" s="73"/>
      <c r="AG36" s="96"/>
      <c r="AH36" s="96"/>
      <c r="AI36" s="96"/>
      <c r="AJ36" s="74"/>
      <c r="AK36" s="73"/>
      <c r="AL36" s="96"/>
      <c r="AM36" s="96"/>
      <c r="AN36" s="96"/>
      <c r="AO36" s="74"/>
      <c r="AP36" s="73"/>
      <c r="AQ36" s="96"/>
      <c r="AR36" s="96"/>
      <c r="AS36" s="96"/>
      <c r="AT36" s="74"/>
      <c r="AU36" s="73"/>
      <c r="AV36" s="96"/>
      <c r="AW36" s="96"/>
      <c r="AX36" s="96"/>
      <c r="AZ36" s="236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</row>
    <row r="37" spans="2:64" x14ac:dyDescent="0.2">
      <c r="B37" s="68"/>
      <c r="C37" s="257">
        <v>45463</v>
      </c>
      <c r="D37" s="70"/>
      <c r="E37" s="71">
        <v>1</v>
      </c>
      <c r="F37" s="72" t="s">
        <v>427</v>
      </c>
      <c r="G37" s="102">
        <v>0.125</v>
      </c>
      <c r="H37" s="102">
        <v>0.125</v>
      </c>
      <c r="I37" s="74"/>
      <c r="J37" s="74"/>
      <c r="K37" s="74"/>
      <c r="L37" s="74">
        <v>30192399</v>
      </c>
      <c r="M37" s="74"/>
      <c r="N37" s="74"/>
      <c r="O37" s="74">
        <f>+L37</f>
        <v>30192399</v>
      </c>
      <c r="P37" s="91"/>
      <c r="Q37" s="72"/>
      <c r="R37" s="104">
        <f t="shared" ref="R37" si="170">100%/H37</f>
        <v>8</v>
      </c>
      <c r="S37" s="101">
        <f>R37*12</f>
        <v>96</v>
      </c>
      <c r="T37" s="101">
        <f t="shared" ref="T37" si="171">MONTH(C37)</f>
        <v>6</v>
      </c>
      <c r="U37" s="105">
        <f t="shared" ref="U37" si="172">YEAR(C37)</f>
        <v>2024</v>
      </c>
      <c r="V37" s="106">
        <f>IF(T37=1, 12, T37-1)</f>
        <v>5</v>
      </c>
      <c r="W37" s="107">
        <f>IF(T37=1,U37+R37-1,U37+R37)</f>
        <v>2032</v>
      </c>
      <c r="X37" s="108"/>
      <c r="Y37" s="103">
        <f t="shared" ref="Y37" si="173">L37/S37</f>
        <v>314504.15625</v>
      </c>
      <c r="Z37" s="324">
        <v>96</v>
      </c>
      <c r="AA37" s="73"/>
      <c r="AB37" s="96"/>
      <c r="AC37" s="96"/>
      <c r="AD37" s="96"/>
      <c r="AE37" s="302">
        <v>96</v>
      </c>
      <c r="AF37" s="73"/>
      <c r="AG37" s="194"/>
      <c r="AH37" s="194"/>
      <c r="AI37" s="194"/>
      <c r="AJ37" s="302">
        <f t="shared" ref="AJ37" si="174">+AE37-AF37</f>
        <v>96</v>
      </c>
      <c r="AK37" s="73">
        <v>7</v>
      </c>
      <c r="AL37" s="194">
        <f t="shared" ref="AL37" si="175">AK37*Y37</f>
        <v>2201529.09375</v>
      </c>
      <c r="AM37" s="194">
        <f t="shared" ref="AM37" si="176">AH37+AL37</f>
        <v>2201529.09375</v>
      </c>
      <c r="AN37" s="194">
        <f t="shared" ref="AN37" si="177">O37-AM37</f>
        <v>27990869.90625</v>
      </c>
      <c r="AO37" s="302">
        <f t="shared" ref="AO37:AO40" si="178">+AJ37-AK37</f>
        <v>89</v>
      </c>
      <c r="AP37" s="73">
        <v>12</v>
      </c>
      <c r="AQ37" s="194">
        <f t="shared" ref="AQ37:AQ40" si="179">AP37*Y37</f>
        <v>3774049.875</v>
      </c>
      <c r="AR37" s="194">
        <f t="shared" ref="AR37:AR40" si="180">AM37+AQ37</f>
        <v>5975578.96875</v>
      </c>
      <c r="AS37" s="194">
        <f t="shared" ref="AS37:AS40" si="181">O37-AR37</f>
        <v>24216820.03125</v>
      </c>
      <c r="AT37" s="302">
        <f t="shared" ref="AT37:AT40" si="182">+AO37-AP37</f>
        <v>77</v>
      </c>
      <c r="AU37" s="73">
        <v>12</v>
      </c>
      <c r="AV37" s="194">
        <f t="shared" ref="AV37:AV40" si="183">AU37*Y37</f>
        <v>3774049.875</v>
      </c>
      <c r="AW37" s="194">
        <f t="shared" ref="AW37:AW40" si="184">AR37+AV37</f>
        <v>9749628.84375</v>
      </c>
      <c r="AX37" s="194">
        <f t="shared" ref="AX37:AX40" si="185">O37-AW37</f>
        <v>20442770.15625</v>
      </c>
      <c r="AY37" s="11"/>
      <c r="AZ37" s="202">
        <f t="shared" ref="AZ37" si="186">SUM(BA37:BL37)</f>
        <v>3774049.875</v>
      </c>
      <c r="BA37" s="203">
        <f t="shared" ref="BA37:BA40" si="187">+Y37*1</f>
        <v>314504.15625</v>
      </c>
      <c r="BB37" s="203">
        <f t="shared" ref="BB37:BB40" si="188">+Y37*1</f>
        <v>314504.15625</v>
      </c>
      <c r="BC37" s="203">
        <f t="shared" ref="BC37:BC40" si="189">+Y37*1</f>
        <v>314504.15625</v>
      </c>
      <c r="BD37" s="203">
        <f t="shared" ref="BD37:BD40" si="190">+Y37*1</f>
        <v>314504.15625</v>
      </c>
      <c r="BE37" s="203">
        <f t="shared" ref="BE37:BE40" si="191">+Y37*1</f>
        <v>314504.15625</v>
      </c>
      <c r="BF37" s="203">
        <f t="shared" ref="BF37:BF40" si="192">+Y37*1</f>
        <v>314504.15625</v>
      </c>
      <c r="BG37" s="203">
        <f t="shared" ref="BG37:BG40" si="193">+Y37*1</f>
        <v>314504.15625</v>
      </c>
      <c r="BH37" s="203">
        <f t="shared" ref="BH37:BH40" si="194">+Y37*1</f>
        <v>314504.15625</v>
      </c>
      <c r="BI37" s="203">
        <f t="shared" ref="BI37:BI40" si="195">+Y37*1</f>
        <v>314504.15625</v>
      </c>
      <c r="BJ37" s="203">
        <f t="shared" ref="BJ37:BJ40" si="196">+Y37*1</f>
        <v>314504.15625</v>
      </c>
      <c r="BK37" s="203">
        <f t="shared" ref="BK37:BK40" si="197">+Y37*1</f>
        <v>314504.15625</v>
      </c>
      <c r="BL37" s="203">
        <f t="shared" ref="BL37:BL40" si="198">+Y37*1</f>
        <v>314504.15625</v>
      </c>
    </row>
    <row r="38" spans="2:64" x14ac:dyDescent="0.2">
      <c r="B38" s="68"/>
      <c r="C38" s="257">
        <v>45642</v>
      </c>
      <c r="D38" s="70"/>
      <c r="E38" s="71">
        <v>1</v>
      </c>
      <c r="F38" s="72" t="s">
        <v>449</v>
      </c>
      <c r="G38" s="102">
        <v>0.125</v>
      </c>
      <c r="H38" s="102">
        <v>0.125</v>
      </c>
      <c r="I38" s="74"/>
      <c r="J38" s="74"/>
      <c r="K38" s="74"/>
      <c r="L38" s="74">
        <v>612142766</v>
      </c>
      <c r="M38" s="74"/>
      <c r="N38" s="74"/>
      <c r="O38" s="74">
        <f>+L38</f>
        <v>612142766</v>
      </c>
      <c r="P38" s="91"/>
      <c r="Q38" s="72"/>
      <c r="R38" s="104">
        <f t="shared" ref="R38" si="199">100%/H38</f>
        <v>8</v>
      </c>
      <c r="S38" s="101">
        <f>R38*12</f>
        <v>96</v>
      </c>
      <c r="T38" s="101">
        <f t="shared" ref="T38" si="200">MONTH(C38)</f>
        <v>12</v>
      </c>
      <c r="U38" s="105">
        <f t="shared" ref="U38" si="201">YEAR(C38)</f>
        <v>2024</v>
      </c>
      <c r="V38" s="106">
        <f>IF(T38=1, 12, T38-1)</f>
        <v>11</v>
      </c>
      <c r="W38" s="107">
        <f>IF(T38=1,U38+R38-1,U38+R38)</f>
        <v>2032</v>
      </c>
      <c r="X38" s="108"/>
      <c r="Y38" s="103">
        <f t="shared" ref="Y38" si="202">L38/S38</f>
        <v>6376487.145833333</v>
      </c>
      <c r="Z38" s="324">
        <v>96</v>
      </c>
      <c r="AA38" s="73"/>
      <c r="AB38" s="96"/>
      <c r="AC38" s="96"/>
      <c r="AD38" s="96"/>
      <c r="AE38" s="302">
        <v>96</v>
      </c>
      <c r="AF38" s="73"/>
      <c r="AG38" s="194"/>
      <c r="AH38" s="194"/>
      <c r="AI38" s="194"/>
      <c r="AJ38" s="302">
        <f t="shared" ref="AJ38" si="203">+AE38-AF38</f>
        <v>96</v>
      </c>
      <c r="AK38" s="73">
        <v>1</v>
      </c>
      <c r="AL38" s="194">
        <f t="shared" ref="AL38" si="204">AK38*Y38</f>
        <v>6376487.145833333</v>
      </c>
      <c r="AM38" s="194">
        <f t="shared" ref="AM38" si="205">AH38+AL38</f>
        <v>6376487.145833333</v>
      </c>
      <c r="AN38" s="194">
        <f t="shared" ref="AN38" si="206">O38-AM38</f>
        <v>605766278.85416663</v>
      </c>
      <c r="AO38" s="302">
        <f t="shared" si="178"/>
        <v>95</v>
      </c>
      <c r="AP38" s="73">
        <v>12</v>
      </c>
      <c r="AQ38" s="194">
        <f t="shared" si="179"/>
        <v>76517845.75</v>
      </c>
      <c r="AR38" s="194">
        <f t="shared" si="180"/>
        <v>82894332.895833328</v>
      </c>
      <c r="AS38" s="194">
        <f t="shared" si="181"/>
        <v>529248433.10416669</v>
      </c>
      <c r="AT38" s="302">
        <f t="shared" si="182"/>
        <v>83</v>
      </c>
      <c r="AU38" s="73">
        <v>12</v>
      </c>
      <c r="AV38" s="194">
        <f t="shared" si="183"/>
        <v>76517845.75</v>
      </c>
      <c r="AW38" s="194">
        <f t="shared" si="184"/>
        <v>159412178.64583331</v>
      </c>
      <c r="AX38" s="194">
        <f t="shared" si="185"/>
        <v>452730587.35416669</v>
      </c>
      <c r="AY38" s="11"/>
      <c r="AZ38" s="202">
        <f t="shared" ref="AZ38" si="207">SUM(BA38:BL38)</f>
        <v>76517845.75</v>
      </c>
      <c r="BA38" s="203">
        <f t="shared" si="187"/>
        <v>6376487.145833333</v>
      </c>
      <c r="BB38" s="203">
        <f t="shared" si="188"/>
        <v>6376487.145833333</v>
      </c>
      <c r="BC38" s="203">
        <f t="shared" si="189"/>
        <v>6376487.145833333</v>
      </c>
      <c r="BD38" s="203">
        <f t="shared" si="190"/>
        <v>6376487.145833333</v>
      </c>
      <c r="BE38" s="203">
        <f t="shared" si="191"/>
        <v>6376487.145833333</v>
      </c>
      <c r="BF38" s="203">
        <f t="shared" si="192"/>
        <v>6376487.145833333</v>
      </c>
      <c r="BG38" s="203">
        <f t="shared" si="193"/>
        <v>6376487.145833333</v>
      </c>
      <c r="BH38" s="203">
        <f t="shared" si="194"/>
        <v>6376487.145833333</v>
      </c>
      <c r="BI38" s="203">
        <f t="shared" si="195"/>
        <v>6376487.145833333</v>
      </c>
      <c r="BJ38" s="203">
        <f t="shared" si="196"/>
        <v>6376487.145833333</v>
      </c>
      <c r="BK38" s="203">
        <f t="shared" si="197"/>
        <v>6376487.145833333</v>
      </c>
      <c r="BL38" s="203">
        <f t="shared" si="198"/>
        <v>6376487.145833333</v>
      </c>
    </row>
    <row r="39" spans="2:64" x14ac:dyDescent="0.2">
      <c r="B39" s="68"/>
      <c r="C39" s="257">
        <v>45642</v>
      </c>
      <c r="D39" s="70"/>
      <c r="E39" s="71">
        <v>1</v>
      </c>
      <c r="F39" s="72" t="s">
        <v>450</v>
      </c>
      <c r="G39" s="102">
        <v>0.125</v>
      </c>
      <c r="H39" s="102">
        <v>0.125</v>
      </c>
      <c r="I39" s="74"/>
      <c r="J39" s="74"/>
      <c r="K39" s="74"/>
      <c r="L39" s="74">
        <v>282760478</v>
      </c>
      <c r="M39" s="74"/>
      <c r="N39" s="74"/>
      <c r="O39" s="74">
        <f t="shared" ref="O39:O40" si="208">+L39</f>
        <v>282760478</v>
      </c>
      <c r="P39" s="91"/>
      <c r="Q39" s="72"/>
      <c r="R39" s="104">
        <f t="shared" ref="R39:R40" si="209">100%/H39</f>
        <v>8</v>
      </c>
      <c r="S39" s="101">
        <f t="shared" ref="S39:S40" si="210">R39*12</f>
        <v>96</v>
      </c>
      <c r="T39" s="101">
        <f t="shared" ref="T39:T40" si="211">MONTH(C39)</f>
        <v>12</v>
      </c>
      <c r="U39" s="105">
        <f t="shared" ref="U39:U40" si="212">YEAR(C39)</f>
        <v>2024</v>
      </c>
      <c r="V39" s="106">
        <f t="shared" ref="V39:V40" si="213">IF(T39=1, 12, T39-1)</f>
        <v>11</v>
      </c>
      <c r="W39" s="107">
        <f t="shared" ref="W39:W40" si="214">IF(T39=1,U39+R39-1,U39+R39)</f>
        <v>2032</v>
      </c>
      <c r="X39" s="108"/>
      <c r="Y39" s="103">
        <f t="shared" ref="Y39:Y40" si="215">L39/S39</f>
        <v>2945421.6458333335</v>
      </c>
      <c r="Z39" s="324">
        <v>96</v>
      </c>
      <c r="AA39" s="73"/>
      <c r="AB39" s="96"/>
      <c r="AC39" s="96"/>
      <c r="AD39" s="96"/>
      <c r="AE39" s="302">
        <v>96</v>
      </c>
      <c r="AF39" s="73"/>
      <c r="AG39" s="194"/>
      <c r="AH39" s="194"/>
      <c r="AI39" s="194"/>
      <c r="AJ39" s="302">
        <f t="shared" ref="AJ39:AJ40" si="216">+AE39-AF39</f>
        <v>96</v>
      </c>
      <c r="AK39" s="73">
        <v>1</v>
      </c>
      <c r="AL39" s="194">
        <f t="shared" ref="AL39:AL40" si="217">AK39*Y39</f>
        <v>2945421.6458333335</v>
      </c>
      <c r="AM39" s="194">
        <f t="shared" ref="AM39:AM40" si="218">AH39+AL39</f>
        <v>2945421.6458333335</v>
      </c>
      <c r="AN39" s="194">
        <f>O39-AM39</f>
        <v>279815056.35416669</v>
      </c>
      <c r="AO39" s="302">
        <f t="shared" si="178"/>
        <v>95</v>
      </c>
      <c r="AP39" s="73">
        <v>12</v>
      </c>
      <c r="AQ39" s="194">
        <f t="shared" si="179"/>
        <v>35345059.75</v>
      </c>
      <c r="AR39" s="194">
        <f t="shared" si="180"/>
        <v>38290481.395833336</v>
      </c>
      <c r="AS39" s="194">
        <f t="shared" si="181"/>
        <v>244469996.60416666</v>
      </c>
      <c r="AT39" s="302">
        <f t="shared" si="182"/>
        <v>83</v>
      </c>
      <c r="AU39" s="73">
        <v>12</v>
      </c>
      <c r="AV39" s="194">
        <f t="shared" si="183"/>
        <v>35345059.75</v>
      </c>
      <c r="AW39" s="194">
        <f t="shared" si="184"/>
        <v>73635541.145833343</v>
      </c>
      <c r="AX39" s="194">
        <f t="shared" si="185"/>
        <v>209124936.85416666</v>
      </c>
      <c r="AY39" s="11"/>
      <c r="AZ39" s="202">
        <f t="shared" ref="AZ39:AZ40" si="219">SUM(BA39:BL39)</f>
        <v>35345059.749999993</v>
      </c>
      <c r="BA39" s="203">
        <f t="shared" si="187"/>
        <v>2945421.6458333335</v>
      </c>
      <c r="BB39" s="203">
        <f t="shared" si="188"/>
        <v>2945421.6458333335</v>
      </c>
      <c r="BC39" s="203">
        <f t="shared" si="189"/>
        <v>2945421.6458333335</v>
      </c>
      <c r="BD39" s="203">
        <f t="shared" si="190"/>
        <v>2945421.6458333335</v>
      </c>
      <c r="BE39" s="203">
        <f t="shared" si="191"/>
        <v>2945421.6458333335</v>
      </c>
      <c r="BF39" s="203">
        <f t="shared" si="192"/>
        <v>2945421.6458333335</v>
      </c>
      <c r="BG39" s="203">
        <f t="shared" si="193"/>
        <v>2945421.6458333335</v>
      </c>
      <c r="BH39" s="203">
        <f t="shared" si="194"/>
        <v>2945421.6458333335</v>
      </c>
      <c r="BI39" s="203">
        <f t="shared" si="195"/>
        <v>2945421.6458333335</v>
      </c>
      <c r="BJ39" s="203">
        <f t="shared" si="196"/>
        <v>2945421.6458333335</v>
      </c>
      <c r="BK39" s="203">
        <f t="shared" si="197"/>
        <v>2945421.6458333335</v>
      </c>
      <c r="BL39" s="203">
        <f t="shared" si="198"/>
        <v>2945421.6458333335</v>
      </c>
    </row>
    <row r="40" spans="2:64" x14ac:dyDescent="0.2">
      <c r="B40" s="68"/>
      <c r="C40" s="257">
        <v>45642</v>
      </c>
      <c r="D40" s="70"/>
      <c r="E40" s="71">
        <v>1</v>
      </c>
      <c r="F40" s="72" t="s">
        <v>451</v>
      </c>
      <c r="G40" s="102">
        <v>0.125</v>
      </c>
      <c r="H40" s="102">
        <v>0.125</v>
      </c>
      <c r="I40" s="74"/>
      <c r="J40" s="74"/>
      <c r="K40" s="74"/>
      <c r="L40" s="74">
        <v>235749638</v>
      </c>
      <c r="M40" s="74"/>
      <c r="N40" s="74"/>
      <c r="O40" s="74">
        <f t="shared" si="208"/>
        <v>235749638</v>
      </c>
      <c r="P40" s="91"/>
      <c r="Q40" s="72"/>
      <c r="R40" s="104">
        <f t="shared" si="209"/>
        <v>8</v>
      </c>
      <c r="S40" s="101">
        <f t="shared" si="210"/>
        <v>96</v>
      </c>
      <c r="T40" s="101">
        <f t="shared" si="211"/>
        <v>12</v>
      </c>
      <c r="U40" s="105">
        <f t="shared" si="212"/>
        <v>2024</v>
      </c>
      <c r="V40" s="106">
        <f t="shared" si="213"/>
        <v>11</v>
      </c>
      <c r="W40" s="107">
        <f t="shared" si="214"/>
        <v>2032</v>
      </c>
      <c r="X40" s="108"/>
      <c r="Y40" s="103">
        <f t="shared" si="215"/>
        <v>2455725.3958333335</v>
      </c>
      <c r="Z40" s="324">
        <v>96</v>
      </c>
      <c r="AA40" s="73"/>
      <c r="AB40" s="96"/>
      <c r="AC40" s="96"/>
      <c r="AD40" s="96"/>
      <c r="AE40" s="302">
        <v>96</v>
      </c>
      <c r="AF40" s="73"/>
      <c r="AG40" s="194"/>
      <c r="AH40" s="194"/>
      <c r="AI40" s="194"/>
      <c r="AJ40" s="302">
        <f t="shared" si="216"/>
        <v>96</v>
      </c>
      <c r="AK40" s="73">
        <v>1</v>
      </c>
      <c r="AL40" s="194">
        <f t="shared" si="217"/>
        <v>2455725.3958333335</v>
      </c>
      <c r="AM40" s="194">
        <f t="shared" si="218"/>
        <v>2455725.3958333335</v>
      </c>
      <c r="AN40" s="194">
        <f t="shared" ref="AN40" si="220">O40-AM40</f>
        <v>233293912.60416666</v>
      </c>
      <c r="AO40" s="302">
        <f t="shared" si="178"/>
        <v>95</v>
      </c>
      <c r="AP40" s="73">
        <v>12</v>
      </c>
      <c r="AQ40" s="194">
        <f t="shared" si="179"/>
        <v>29468704.75</v>
      </c>
      <c r="AR40" s="194">
        <f t="shared" si="180"/>
        <v>31924430.145833332</v>
      </c>
      <c r="AS40" s="194">
        <f t="shared" si="181"/>
        <v>203825207.85416666</v>
      </c>
      <c r="AT40" s="302">
        <f t="shared" si="182"/>
        <v>83</v>
      </c>
      <c r="AU40" s="73">
        <v>12</v>
      </c>
      <c r="AV40" s="194">
        <f t="shared" si="183"/>
        <v>29468704.75</v>
      </c>
      <c r="AW40" s="194">
        <f t="shared" si="184"/>
        <v>61393134.895833328</v>
      </c>
      <c r="AX40" s="194">
        <f t="shared" si="185"/>
        <v>174356503.10416669</v>
      </c>
      <c r="AY40" s="11"/>
      <c r="AZ40" s="202">
        <f t="shared" si="219"/>
        <v>29468704.749999996</v>
      </c>
      <c r="BA40" s="203">
        <f t="shared" si="187"/>
        <v>2455725.3958333335</v>
      </c>
      <c r="BB40" s="203">
        <f t="shared" si="188"/>
        <v>2455725.3958333335</v>
      </c>
      <c r="BC40" s="203">
        <f t="shared" si="189"/>
        <v>2455725.3958333335</v>
      </c>
      <c r="BD40" s="203">
        <f t="shared" si="190"/>
        <v>2455725.3958333335</v>
      </c>
      <c r="BE40" s="203">
        <f t="shared" si="191"/>
        <v>2455725.3958333335</v>
      </c>
      <c r="BF40" s="203">
        <f t="shared" si="192"/>
        <v>2455725.3958333335</v>
      </c>
      <c r="BG40" s="203">
        <f t="shared" si="193"/>
        <v>2455725.3958333335</v>
      </c>
      <c r="BH40" s="203">
        <f t="shared" si="194"/>
        <v>2455725.3958333335</v>
      </c>
      <c r="BI40" s="203">
        <f t="shared" si="195"/>
        <v>2455725.3958333335</v>
      </c>
      <c r="BJ40" s="203">
        <f t="shared" si="196"/>
        <v>2455725.3958333335</v>
      </c>
      <c r="BK40" s="203">
        <f t="shared" si="197"/>
        <v>2455725.3958333335</v>
      </c>
      <c r="BL40" s="203">
        <f t="shared" si="198"/>
        <v>2455725.3958333335</v>
      </c>
    </row>
    <row r="41" spans="2:64" x14ac:dyDescent="0.2">
      <c r="B41" s="68"/>
      <c r="C41" s="257"/>
      <c r="D41" s="70"/>
      <c r="E41" s="71"/>
      <c r="F41" s="72"/>
      <c r="G41" s="345"/>
      <c r="H41" s="102"/>
      <c r="I41" s="74"/>
      <c r="J41" s="74"/>
      <c r="K41" s="74"/>
      <c r="L41" s="74"/>
      <c r="M41" s="74"/>
      <c r="N41" s="74"/>
      <c r="O41" s="74"/>
      <c r="P41" s="91"/>
      <c r="Q41" s="72"/>
      <c r="R41" s="104"/>
      <c r="S41" s="101"/>
      <c r="T41" s="101"/>
      <c r="U41" s="105"/>
      <c r="V41" s="106"/>
      <c r="W41" s="107"/>
      <c r="X41" s="108"/>
      <c r="Y41" s="103"/>
      <c r="Z41" s="324"/>
      <c r="AA41" s="73"/>
      <c r="AB41" s="96"/>
      <c r="AC41" s="96"/>
      <c r="AD41" s="96"/>
      <c r="AE41" s="302"/>
      <c r="AF41" s="73"/>
      <c r="AG41" s="194"/>
      <c r="AH41" s="194"/>
      <c r="AI41" s="194"/>
      <c r="AJ41" s="302"/>
      <c r="AK41" s="73"/>
      <c r="AL41" s="194"/>
      <c r="AM41" s="194"/>
      <c r="AN41" s="194"/>
      <c r="AO41" s="302"/>
      <c r="AP41" s="73"/>
      <c r="AQ41" s="194"/>
      <c r="AR41" s="194"/>
      <c r="AS41" s="194"/>
      <c r="AT41" s="302"/>
      <c r="AU41" s="73"/>
      <c r="AV41" s="194"/>
      <c r="AW41" s="194"/>
      <c r="AX41" s="194"/>
      <c r="AY41" s="11"/>
      <c r="AZ41" s="347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</row>
    <row r="42" spans="2:64" x14ac:dyDescent="0.2">
      <c r="B42" s="68"/>
      <c r="C42" s="257"/>
      <c r="D42" s="70"/>
      <c r="E42" s="71"/>
      <c r="F42" s="72"/>
      <c r="G42" s="345"/>
      <c r="H42" s="102"/>
      <c r="I42" s="74"/>
      <c r="J42" s="74"/>
      <c r="K42" s="74"/>
      <c r="L42" s="118">
        <f>SUM(L37:L41)</f>
        <v>1160845281</v>
      </c>
      <c r="M42" s="74"/>
      <c r="N42" s="74"/>
      <c r="O42" s="118">
        <f>SUM(O37:O41)</f>
        <v>1160845281</v>
      </c>
      <c r="P42" s="91"/>
      <c r="Q42" s="72"/>
      <c r="R42" s="104"/>
      <c r="S42" s="101"/>
      <c r="T42" s="101"/>
      <c r="U42" s="105"/>
      <c r="V42" s="106"/>
      <c r="W42" s="107"/>
      <c r="X42" s="108"/>
      <c r="Y42" s="103"/>
      <c r="Z42" s="324"/>
      <c r="AA42" s="73"/>
      <c r="AB42" s="96"/>
      <c r="AC42" s="96"/>
      <c r="AD42" s="96"/>
      <c r="AE42" s="302"/>
      <c r="AF42" s="73"/>
      <c r="AG42" s="194"/>
      <c r="AH42" s="194"/>
      <c r="AI42" s="194"/>
      <c r="AJ42" s="302"/>
      <c r="AK42" s="73"/>
      <c r="AL42" s="118">
        <f>SUM(AL37:AL41)</f>
        <v>13979163.28125</v>
      </c>
      <c r="AM42" s="118">
        <f t="shared" ref="AM42:AN42" si="221">SUM(AM37:AM41)</f>
        <v>13979163.28125</v>
      </c>
      <c r="AN42" s="118">
        <f t="shared" si="221"/>
        <v>1146866117.71875</v>
      </c>
      <c r="AO42" s="302"/>
      <c r="AP42" s="73"/>
      <c r="AQ42" s="118">
        <f>SUM(AQ37:AQ41)</f>
        <v>145105660.125</v>
      </c>
      <c r="AR42" s="118">
        <f t="shared" ref="AR42:AS42" si="222">SUM(AR37:AR41)</f>
        <v>159084823.40625</v>
      </c>
      <c r="AS42" s="118">
        <f t="shared" si="222"/>
        <v>1001760457.59375</v>
      </c>
      <c r="AT42" s="302"/>
      <c r="AU42" s="73"/>
      <c r="AV42" s="118">
        <f>SUM(AV37:AV41)</f>
        <v>145105660.125</v>
      </c>
      <c r="AW42" s="118">
        <f t="shared" ref="AW42:AX42" si="223">SUM(AW37:AW41)</f>
        <v>304190483.53125</v>
      </c>
      <c r="AX42" s="118">
        <f t="shared" si="223"/>
        <v>856654797.46875</v>
      </c>
      <c r="AY42" s="11"/>
      <c r="AZ42" s="118">
        <f>SUM(AZ37:AZ41)</f>
        <v>145105660.125</v>
      </c>
      <c r="BA42" s="118">
        <f t="shared" ref="BA42:BL42" si="224">SUM(BA37:BA41)</f>
        <v>12092138.34375</v>
      </c>
      <c r="BB42" s="118">
        <f t="shared" si="224"/>
        <v>12092138.34375</v>
      </c>
      <c r="BC42" s="118">
        <f t="shared" si="224"/>
        <v>12092138.34375</v>
      </c>
      <c r="BD42" s="118">
        <f t="shared" si="224"/>
        <v>12092138.34375</v>
      </c>
      <c r="BE42" s="118">
        <f t="shared" si="224"/>
        <v>12092138.34375</v>
      </c>
      <c r="BF42" s="118">
        <f t="shared" si="224"/>
        <v>12092138.34375</v>
      </c>
      <c r="BG42" s="118">
        <f t="shared" si="224"/>
        <v>12092138.34375</v>
      </c>
      <c r="BH42" s="118">
        <f t="shared" si="224"/>
        <v>12092138.34375</v>
      </c>
      <c r="BI42" s="118">
        <f t="shared" si="224"/>
        <v>12092138.34375</v>
      </c>
      <c r="BJ42" s="118">
        <f t="shared" si="224"/>
        <v>12092138.34375</v>
      </c>
      <c r="BK42" s="118">
        <f t="shared" si="224"/>
        <v>12092138.34375</v>
      </c>
      <c r="BL42" s="118">
        <f t="shared" si="224"/>
        <v>12092138.34375</v>
      </c>
    </row>
    <row r="43" spans="2:64" x14ac:dyDescent="0.2">
      <c r="B43" s="68"/>
      <c r="C43" s="257"/>
      <c r="D43" s="70"/>
      <c r="E43" s="71"/>
      <c r="F43" s="72"/>
      <c r="G43" s="345"/>
      <c r="H43" s="102"/>
      <c r="I43" s="74"/>
      <c r="J43" s="74"/>
      <c r="K43" s="74"/>
      <c r="L43" s="118"/>
      <c r="M43" s="74"/>
      <c r="N43" s="74"/>
      <c r="O43" s="118"/>
      <c r="P43" s="91"/>
      <c r="Q43" s="72"/>
      <c r="R43" s="104"/>
      <c r="S43" s="101"/>
      <c r="T43" s="101"/>
      <c r="U43" s="105"/>
      <c r="V43" s="106"/>
      <c r="W43" s="107"/>
      <c r="X43" s="108"/>
      <c r="Y43" s="103"/>
      <c r="Z43" s="324"/>
      <c r="AA43" s="73"/>
      <c r="AB43" s="96"/>
      <c r="AC43" s="96"/>
      <c r="AD43" s="96"/>
      <c r="AE43" s="302"/>
      <c r="AF43" s="73"/>
      <c r="AG43" s="194"/>
      <c r="AH43" s="194"/>
      <c r="AI43" s="194"/>
      <c r="AJ43" s="302"/>
      <c r="AK43" s="73"/>
      <c r="AL43" s="118"/>
      <c r="AM43" s="118"/>
      <c r="AN43" s="118"/>
      <c r="AO43" s="302"/>
      <c r="AP43" s="73"/>
      <c r="AQ43" s="118"/>
      <c r="AR43" s="118"/>
      <c r="AS43" s="118"/>
      <c r="AT43" s="302"/>
      <c r="AU43" s="73"/>
      <c r="AV43" s="118"/>
      <c r="AW43" s="118"/>
      <c r="AX43" s="118"/>
      <c r="AY43" s="11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</row>
    <row r="44" spans="2:64" x14ac:dyDescent="0.2">
      <c r="B44" s="68"/>
      <c r="C44" s="257">
        <v>45799</v>
      </c>
      <c r="D44" s="70"/>
      <c r="E44" s="71">
        <v>1</v>
      </c>
      <c r="F44" s="72" t="s">
        <v>462</v>
      </c>
      <c r="G44" s="102">
        <v>0.125</v>
      </c>
      <c r="H44" s="102">
        <v>0.125</v>
      </c>
      <c r="I44" s="74"/>
      <c r="J44" s="74"/>
      <c r="K44" s="74"/>
      <c r="L44" s="74">
        <v>28671531</v>
      </c>
      <c r="M44" s="74"/>
      <c r="N44" s="74"/>
      <c r="O44" s="74">
        <f>+L44</f>
        <v>28671531</v>
      </c>
      <c r="P44" s="91"/>
      <c r="Q44" s="72"/>
      <c r="R44" s="104">
        <f t="shared" ref="R44" si="225">100%/H44</f>
        <v>8</v>
      </c>
      <c r="S44" s="101">
        <f>R44*12</f>
        <v>96</v>
      </c>
      <c r="T44" s="101">
        <f t="shared" ref="T44" si="226">MONTH(C44)</f>
        <v>5</v>
      </c>
      <c r="U44" s="105">
        <f t="shared" ref="U44" si="227">YEAR(C44)</f>
        <v>2025</v>
      </c>
      <c r="V44" s="106">
        <f>IF(T44=1, 12, T44-1)</f>
        <v>4</v>
      </c>
      <c r="W44" s="107">
        <f>IF(T44=1,U44+R44-1,U44+R44)</f>
        <v>2033</v>
      </c>
      <c r="X44" s="108"/>
      <c r="Y44" s="103">
        <f t="shared" ref="Y44" si="228">L44/S44</f>
        <v>298661.78125</v>
      </c>
      <c r="Z44" s="324">
        <v>96</v>
      </c>
      <c r="AA44" s="73"/>
      <c r="AB44" s="96"/>
      <c r="AC44" s="96"/>
      <c r="AD44" s="96"/>
      <c r="AE44" s="302">
        <v>96</v>
      </c>
      <c r="AF44" s="73"/>
      <c r="AG44" s="194"/>
      <c r="AH44" s="194"/>
      <c r="AI44" s="194"/>
      <c r="AJ44" s="302">
        <f t="shared" ref="AJ44" si="229">+AE44-AF44</f>
        <v>96</v>
      </c>
      <c r="AK44" s="73"/>
      <c r="AL44" s="194"/>
      <c r="AM44" s="194"/>
      <c r="AN44" s="194"/>
      <c r="AO44" s="302">
        <f t="shared" ref="AO44" si="230">+AJ44-AK44</f>
        <v>96</v>
      </c>
      <c r="AP44" s="73">
        <v>8</v>
      </c>
      <c r="AQ44" s="194">
        <f>AP44*Y44</f>
        <v>2389294.25</v>
      </c>
      <c r="AR44" s="194">
        <f t="shared" ref="AR44" si="231">AM44+AQ44</f>
        <v>2389294.25</v>
      </c>
      <c r="AS44" s="194">
        <f t="shared" ref="AS44" si="232">O44-AR44</f>
        <v>26282236.75</v>
      </c>
      <c r="AT44" s="302">
        <f t="shared" ref="AT44:AT45" si="233">+AO44-AP44</f>
        <v>88</v>
      </c>
      <c r="AU44" s="73">
        <v>12</v>
      </c>
      <c r="AV44" s="194">
        <f t="shared" ref="AV44:AV45" si="234">AU44*Y44</f>
        <v>3583941.375</v>
      </c>
      <c r="AW44" s="194">
        <f>AR44+AV44</f>
        <v>5973235.625</v>
      </c>
      <c r="AX44" s="194">
        <f t="shared" ref="AX44:AX45" si="235">O44-AW44</f>
        <v>22698295.375</v>
      </c>
      <c r="AY44" s="11"/>
      <c r="AZ44" s="202">
        <f t="shared" ref="AZ44" si="236">SUM(BA44:BL44)</f>
        <v>3583941.375</v>
      </c>
      <c r="BA44" s="203">
        <f t="shared" ref="BA44:BA45" si="237">+Y44*1</f>
        <v>298661.78125</v>
      </c>
      <c r="BB44" s="203">
        <f t="shared" ref="BB44:BB45" si="238">+Y44*1</f>
        <v>298661.78125</v>
      </c>
      <c r="BC44" s="203">
        <f t="shared" ref="BC44:BC45" si="239">+Y44*1</f>
        <v>298661.78125</v>
      </c>
      <c r="BD44" s="203">
        <f t="shared" ref="BD44:BD45" si="240">+Y44*1</f>
        <v>298661.78125</v>
      </c>
      <c r="BE44" s="203">
        <f t="shared" ref="BE44:BE45" si="241">+Y44*1</f>
        <v>298661.78125</v>
      </c>
      <c r="BF44" s="203">
        <f t="shared" ref="BF44:BF45" si="242">+Y44*1</f>
        <v>298661.78125</v>
      </c>
      <c r="BG44" s="203">
        <f t="shared" ref="BG44:BG45" si="243">+Y44*1</f>
        <v>298661.78125</v>
      </c>
      <c r="BH44" s="203">
        <f t="shared" ref="BH44:BH45" si="244">+Y44*1</f>
        <v>298661.78125</v>
      </c>
      <c r="BI44" s="203">
        <f t="shared" ref="BI44:BI45" si="245">+Y44*1</f>
        <v>298661.78125</v>
      </c>
      <c r="BJ44" s="203">
        <f t="shared" ref="BJ44:BJ45" si="246">+Y44*1</f>
        <v>298661.78125</v>
      </c>
      <c r="BK44" s="203">
        <f t="shared" ref="BK44:BK45" si="247">+Y44*1</f>
        <v>298661.78125</v>
      </c>
      <c r="BL44" s="203">
        <f t="shared" ref="BL44:BL45" si="248">+Y44*1</f>
        <v>298661.78125</v>
      </c>
    </row>
    <row r="45" spans="2:64" x14ac:dyDescent="0.2">
      <c r="B45" s="68"/>
      <c r="C45" s="257">
        <v>45883</v>
      </c>
      <c r="D45" s="70"/>
      <c r="E45" s="71">
        <v>1</v>
      </c>
      <c r="F45" s="72" t="s">
        <v>465</v>
      </c>
      <c r="G45" s="102">
        <v>0.125</v>
      </c>
      <c r="H45" s="102">
        <v>0.125</v>
      </c>
      <c r="I45" s="74"/>
      <c r="J45" s="74"/>
      <c r="K45" s="74"/>
      <c r="L45" s="74">
        <v>463126809</v>
      </c>
      <c r="M45" s="74"/>
      <c r="N45" s="74"/>
      <c r="O45" s="74">
        <f>+L45</f>
        <v>463126809</v>
      </c>
      <c r="P45" s="91"/>
      <c r="Q45" s="72"/>
      <c r="R45" s="104">
        <f t="shared" ref="R45" si="249">100%/H45</f>
        <v>8</v>
      </c>
      <c r="S45" s="101">
        <f>R45*12</f>
        <v>96</v>
      </c>
      <c r="T45" s="101">
        <f t="shared" ref="T45" si="250">MONTH(C45)</f>
        <v>8</v>
      </c>
      <c r="U45" s="105">
        <f t="shared" ref="U45" si="251">YEAR(C45)</f>
        <v>2025</v>
      </c>
      <c r="V45" s="106">
        <f>IF(T45=1, 12, T45-1)</f>
        <v>7</v>
      </c>
      <c r="W45" s="107">
        <f>IF(T45=1,U45+R45-1,U45+R45)</f>
        <v>2033</v>
      </c>
      <c r="X45" s="108"/>
      <c r="Y45" s="103">
        <f t="shared" ref="Y45" si="252">L45/S45</f>
        <v>4824237.59375</v>
      </c>
      <c r="Z45" s="324">
        <v>96</v>
      </c>
      <c r="AA45" s="73"/>
      <c r="AB45" s="96"/>
      <c r="AC45" s="96"/>
      <c r="AD45" s="96"/>
      <c r="AE45" s="302">
        <v>96</v>
      </c>
      <c r="AF45" s="73"/>
      <c r="AG45" s="194"/>
      <c r="AH45" s="194"/>
      <c r="AI45" s="194"/>
      <c r="AJ45" s="302">
        <f t="shared" ref="AJ45" si="253">+AE45-AF45</f>
        <v>96</v>
      </c>
      <c r="AK45" s="73"/>
      <c r="AL45" s="194"/>
      <c r="AM45" s="194"/>
      <c r="AN45" s="194"/>
      <c r="AO45" s="302">
        <f t="shared" ref="AO45" si="254">+AJ45-AK45</f>
        <v>96</v>
      </c>
      <c r="AP45" s="73">
        <v>5</v>
      </c>
      <c r="AQ45" s="194">
        <f>AP45*Y45</f>
        <v>24121187.96875</v>
      </c>
      <c r="AR45" s="194">
        <f t="shared" ref="AR45" si="255">AM45+AQ45</f>
        <v>24121187.96875</v>
      </c>
      <c r="AS45" s="194">
        <f t="shared" ref="AS45" si="256">O45-AR45</f>
        <v>439005621.03125</v>
      </c>
      <c r="AT45" s="302">
        <f t="shared" si="233"/>
        <v>91</v>
      </c>
      <c r="AU45" s="73">
        <v>12</v>
      </c>
      <c r="AV45" s="194">
        <f t="shared" si="234"/>
        <v>57890851.125</v>
      </c>
      <c r="AW45" s="194">
        <f t="shared" ref="AW45" si="257">AR45+AV45</f>
        <v>82012039.09375</v>
      </c>
      <c r="AX45" s="194">
        <f t="shared" si="235"/>
        <v>381114769.90625</v>
      </c>
      <c r="AY45" s="11"/>
      <c r="AZ45" s="202">
        <f t="shared" ref="AZ45" si="258">SUM(BA45:BL45)</f>
        <v>57890851.125</v>
      </c>
      <c r="BA45" s="203">
        <f t="shared" si="237"/>
        <v>4824237.59375</v>
      </c>
      <c r="BB45" s="203">
        <f t="shared" si="238"/>
        <v>4824237.59375</v>
      </c>
      <c r="BC45" s="203">
        <f t="shared" si="239"/>
        <v>4824237.59375</v>
      </c>
      <c r="BD45" s="203">
        <f t="shared" si="240"/>
        <v>4824237.59375</v>
      </c>
      <c r="BE45" s="203">
        <f t="shared" si="241"/>
        <v>4824237.59375</v>
      </c>
      <c r="BF45" s="203">
        <f t="shared" si="242"/>
        <v>4824237.59375</v>
      </c>
      <c r="BG45" s="203">
        <f t="shared" si="243"/>
        <v>4824237.59375</v>
      </c>
      <c r="BH45" s="203">
        <f t="shared" si="244"/>
        <v>4824237.59375</v>
      </c>
      <c r="BI45" s="203">
        <f t="shared" si="245"/>
        <v>4824237.59375</v>
      </c>
      <c r="BJ45" s="203">
        <f t="shared" si="246"/>
        <v>4824237.59375</v>
      </c>
      <c r="BK45" s="203">
        <f t="shared" si="247"/>
        <v>4824237.59375</v>
      </c>
      <c r="BL45" s="203">
        <f t="shared" si="248"/>
        <v>4824237.59375</v>
      </c>
    </row>
    <row r="46" spans="2:64" x14ac:dyDescent="0.2">
      <c r="B46" s="68"/>
      <c r="C46" s="257"/>
      <c r="D46" s="70"/>
      <c r="E46" s="71"/>
      <c r="F46" s="72"/>
      <c r="G46" s="345"/>
      <c r="H46" s="102"/>
      <c r="I46" s="74"/>
      <c r="J46" s="74"/>
      <c r="K46" s="74"/>
      <c r="L46" s="118"/>
      <c r="M46" s="74"/>
      <c r="N46" s="74"/>
      <c r="O46" s="118"/>
      <c r="P46" s="91"/>
      <c r="Q46" s="72"/>
      <c r="R46" s="104"/>
      <c r="S46" s="101"/>
      <c r="T46" s="101"/>
      <c r="U46" s="105"/>
      <c r="V46" s="106"/>
      <c r="W46" s="107"/>
      <c r="X46" s="108"/>
      <c r="Y46" s="103"/>
      <c r="Z46" s="324"/>
      <c r="AA46" s="73"/>
      <c r="AB46" s="96"/>
      <c r="AC46" s="96"/>
      <c r="AD46" s="96"/>
      <c r="AE46" s="302"/>
      <c r="AF46" s="73"/>
      <c r="AG46" s="194"/>
      <c r="AH46" s="194"/>
      <c r="AI46" s="194"/>
      <c r="AJ46" s="302"/>
      <c r="AK46" s="73"/>
      <c r="AL46" s="118"/>
      <c r="AM46" s="118"/>
      <c r="AN46" s="118"/>
      <c r="AO46" s="302"/>
      <c r="AP46" s="73"/>
      <c r="AQ46" s="118"/>
      <c r="AR46" s="118"/>
      <c r="AS46" s="118"/>
      <c r="AT46" s="302"/>
      <c r="AU46" s="73"/>
      <c r="AV46" s="118"/>
      <c r="AW46" s="118"/>
      <c r="AX46" s="118"/>
      <c r="AY46" s="11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</row>
    <row r="47" spans="2:64" x14ac:dyDescent="0.2">
      <c r="B47" s="68"/>
      <c r="C47" s="257"/>
      <c r="D47" s="70"/>
      <c r="E47" s="71"/>
      <c r="F47" s="72"/>
      <c r="G47" s="345"/>
      <c r="H47" s="102"/>
      <c r="I47" s="74"/>
      <c r="J47" s="74"/>
      <c r="K47" s="74"/>
      <c r="L47" s="118">
        <f>SUM(L44:L46)</f>
        <v>491798340</v>
      </c>
      <c r="M47" s="74"/>
      <c r="N47" s="74"/>
      <c r="O47" s="118">
        <f>SUM(O44:O46)</f>
        <v>491798340</v>
      </c>
      <c r="P47" s="91"/>
      <c r="Q47" s="72"/>
      <c r="R47" s="104"/>
      <c r="S47" s="101"/>
      <c r="T47" s="101"/>
      <c r="U47" s="105"/>
      <c r="V47" s="106"/>
      <c r="W47" s="107"/>
      <c r="X47" s="108"/>
      <c r="Y47" s="103"/>
      <c r="Z47" s="324"/>
      <c r="AA47" s="73"/>
      <c r="AB47" s="96"/>
      <c r="AC47" s="96"/>
      <c r="AD47" s="96"/>
      <c r="AE47" s="302"/>
      <c r="AF47" s="73"/>
      <c r="AG47" s="194"/>
      <c r="AH47" s="194"/>
      <c r="AI47" s="194"/>
      <c r="AJ47" s="302"/>
      <c r="AK47" s="73"/>
      <c r="AL47" s="118"/>
      <c r="AM47" s="118"/>
      <c r="AN47" s="118"/>
      <c r="AO47" s="302"/>
      <c r="AP47" s="73"/>
      <c r="AQ47" s="118">
        <f t="shared" ref="AQ47:AS47" si="259">SUM(AQ44:AQ46)</f>
        <v>26510482.21875</v>
      </c>
      <c r="AR47" s="118">
        <f t="shared" si="259"/>
        <v>26510482.21875</v>
      </c>
      <c r="AS47" s="118">
        <f t="shared" si="259"/>
        <v>465287857.78125</v>
      </c>
      <c r="AT47" s="302"/>
      <c r="AU47" s="73"/>
      <c r="AV47" s="118">
        <f t="shared" ref="AV47:AX47" si="260">SUM(AV44:AV46)</f>
        <v>61474792.5</v>
      </c>
      <c r="AW47" s="118">
        <f t="shared" si="260"/>
        <v>87985274.71875</v>
      </c>
      <c r="AX47" s="118">
        <f t="shared" si="260"/>
        <v>403813065.28125</v>
      </c>
      <c r="AY47" s="11"/>
      <c r="AZ47" s="118">
        <f t="shared" ref="AZ47:BL47" si="261">SUM(AZ44:AZ46)</f>
        <v>61474792.5</v>
      </c>
      <c r="BA47" s="118">
        <f t="shared" si="261"/>
        <v>5122899.375</v>
      </c>
      <c r="BB47" s="118">
        <f t="shared" si="261"/>
        <v>5122899.375</v>
      </c>
      <c r="BC47" s="118">
        <f t="shared" si="261"/>
        <v>5122899.375</v>
      </c>
      <c r="BD47" s="118">
        <f t="shared" si="261"/>
        <v>5122899.375</v>
      </c>
      <c r="BE47" s="118">
        <f t="shared" si="261"/>
        <v>5122899.375</v>
      </c>
      <c r="BF47" s="118">
        <f t="shared" si="261"/>
        <v>5122899.375</v>
      </c>
      <c r="BG47" s="118">
        <f t="shared" si="261"/>
        <v>5122899.375</v>
      </c>
      <c r="BH47" s="118">
        <f t="shared" si="261"/>
        <v>5122899.375</v>
      </c>
      <c r="BI47" s="118">
        <f t="shared" si="261"/>
        <v>5122899.375</v>
      </c>
      <c r="BJ47" s="118">
        <f t="shared" si="261"/>
        <v>5122899.375</v>
      </c>
      <c r="BK47" s="118">
        <f t="shared" si="261"/>
        <v>5122899.375</v>
      </c>
      <c r="BL47" s="118">
        <f t="shared" si="261"/>
        <v>5122899.375</v>
      </c>
    </row>
    <row r="48" spans="2:64" x14ac:dyDescent="0.2">
      <c r="B48" s="68"/>
      <c r="C48" s="257"/>
      <c r="D48" s="70"/>
      <c r="E48" s="71"/>
      <c r="F48" s="72"/>
      <c r="G48" s="345"/>
      <c r="H48" s="102"/>
      <c r="I48" s="74"/>
      <c r="J48" s="74"/>
      <c r="K48" s="74"/>
      <c r="L48" s="118"/>
      <c r="M48" s="74"/>
      <c r="N48" s="74"/>
      <c r="O48" s="118"/>
      <c r="P48" s="91"/>
      <c r="Q48" s="72"/>
      <c r="R48" s="104"/>
      <c r="S48" s="101"/>
      <c r="T48" s="101"/>
      <c r="U48" s="105"/>
      <c r="V48" s="106"/>
      <c r="W48" s="107"/>
      <c r="X48" s="108"/>
      <c r="Y48" s="103"/>
      <c r="Z48" s="324"/>
      <c r="AA48" s="73"/>
      <c r="AB48" s="96"/>
      <c r="AC48" s="96"/>
      <c r="AD48" s="96"/>
      <c r="AE48" s="302"/>
      <c r="AF48" s="73"/>
      <c r="AG48" s="194"/>
      <c r="AH48" s="194"/>
      <c r="AI48" s="194"/>
      <c r="AJ48" s="302"/>
      <c r="AK48" s="73"/>
      <c r="AL48" s="118"/>
      <c r="AM48" s="118"/>
      <c r="AN48" s="118"/>
      <c r="AO48" s="302"/>
      <c r="AP48" s="73"/>
      <c r="AQ48" s="118"/>
      <c r="AR48" s="118"/>
      <c r="AS48" s="118"/>
      <c r="AT48" s="302"/>
      <c r="AU48" s="73"/>
      <c r="AV48" s="118"/>
      <c r="AW48" s="118"/>
      <c r="AX48" s="118"/>
      <c r="AY48" s="11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</row>
    <row r="49" spans="2:64" x14ac:dyDescent="0.2">
      <c r="B49" s="68"/>
      <c r="C49" s="257"/>
      <c r="D49" s="70"/>
      <c r="E49" s="71"/>
      <c r="F49" s="72"/>
      <c r="G49" s="72"/>
      <c r="H49" s="90"/>
      <c r="I49" s="74"/>
      <c r="J49" s="74"/>
      <c r="K49" s="74"/>
      <c r="L49" s="74"/>
      <c r="M49" s="74"/>
      <c r="N49" s="74"/>
      <c r="O49" s="74"/>
      <c r="P49" s="91"/>
      <c r="Q49" s="72"/>
      <c r="R49" s="91"/>
      <c r="S49" s="72"/>
      <c r="T49" s="72"/>
      <c r="U49" s="92"/>
      <c r="V49" s="93"/>
      <c r="W49" s="94"/>
      <c r="X49" s="95"/>
      <c r="Y49" s="74"/>
      <c r="Z49" s="74"/>
      <c r="AA49" s="73"/>
      <c r="AB49" s="96"/>
      <c r="AC49" s="96"/>
      <c r="AD49" s="96"/>
      <c r="AE49" s="74"/>
      <c r="AF49" s="73"/>
      <c r="AG49" s="96"/>
      <c r="AH49" s="96"/>
      <c r="AI49" s="96"/>
      <c r="AJ49" s="74"/>
      <c r="AK49" s="73"/>
      <c r="AL49" s="74"/>
      <c r="AM49" s="74"/>
      <c r="AN49" s="74"/>
      <c r="AO49" s="74"/>
      <c r="AP49" s="73"/>
      <c r="AQ49" s="74"/>
      <c r="AR49" s="74"/>
      <c r="AS49" s="74"/>
      <c r="AT49" s="74"/>
      <c r="AU49" s="73"/>
      <c r="AV49" s="74"/>
      <c r="AW49" s="74"/>
      <c r="AX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</row>
    <row r="50" spans="2:64" x14ac:dyDescent="0.2">
      <c r="B50" s="68"/>
      <c r="C50" s="257"/>
      <c r="D50" s="70"/>
      <c r="E50" s="71"/>
      <c r="F50" s="72"/>
      <c r="G50" s="72"/>
      <c r="H50" s="90"/>
      <c r="I50" s="74"/>
      <c r="J50" s="74"/>
      <c r="K50" s="74"/>
      <c r="L50" s="249">
        <f>+L35+L42+L47</f>
        <v>5751743918</v>
      </c>
      <c r="M50" s="74"/>
      <c r="N50" s="74"/>
      <c r="O50" s="74"/>
      <c r="P50" s="91"/>
      <c r="Q50" s="72"/>
      <c r="R50" s="91"/>
      <c r="S50" s="72"/>
      <c r="T50" s="72"/>
      <c r="U50" s="92"/>
      <c r="V50" s="93"/>
      <c r="W50" s="94"/>
      <c r="X50" s="95"/>
      <c r="Y50" s="74"/>
      <c r="Z50" s="74"/>
      <c r="AA50" s="73"/>
      <c r="AB50" s="96"/>
      <c r="AC50" s="96"/>
      <c r="AD50" s="96"/>
      <c r="AE50" s="74"/>
      <c r="AF50" s="73"/>
      <c r="AG50" s="96"/>
      <c r="AH50" s="96"/>
      <c r="AI50" s="96"/>
      <c r="AJ50" s="74"/>
      <c r="AK50" s="73"/>
      <c r="AL50" s="249">
        <f>+AL35+AL42</f>
        <v>416474668.32072365</v>
      </c>
      <c r="AM50" s="251">
        <f>+AM35+AM42</f>
        <v>2529314923.7395835</v>
      </c>
      <c r="AN50" s="251">
        <f>+AN35+AN42</f>
        <v>2730630654.2604165</v>
      </c>
      <c r="AO50" s="74"/>
      <c r="AP50" s="73"/>
      <c r="AQ50" s="249">
        <f>+AQ35+AQ42+AQ47</f>
        <v>490824271.59375</v>
      </c>
      <c r="AR50" s="251">
        <f>+AR35+AR42+AR47</f>
        <v>2473444753.333333</v>
      </c>
      <c r="AS50" s="251">
        <f>+AS35+AS42+AS47</f>
        <v>2731604722.6666665</v>
      </c>
      <c r="AT50" s="74"/>
      <c r="AU50" s="73"/>
      <c r="AV50" s="249">
        <f>+AV35+AV42+AV47</f>
        <v>439090256.79166669</v>
      </c>
      <c r="AW50" s="251">
        <f>+AW35+AW42+AW47</f>
        <v>2820035010.125</v>
      </c>
      <c r="AX50" s="251">
        <f>+AX35+AX42+AX47</f>
        <v>2145014465.875</v>
      </c>
      <c r="AZ50" s="251">
        <f>+AZ35+AZ42+AZ47</f>
        <v>439090256.79166669</v>
      </c>
      <c r="BA50" s="251">
        <f>+BA35+BA42+BA47</f>
        <v>36888945.010416672</v>
      </c>
      <c r="BB50" s="251">
        <f t="shared" ref="BB50:BL50" si="262">+BB35+BB42+BB47</f>
        <v>36666028.34375</v>
      </c>
      <c r="BC50" s="251">
        <f t="shared" si="262"/>
        <v>36666028.34375</v>
      </c>
      <c r="BD50" s="251">
        <f t="shared" si="262"/>
        <v>36666028.34375</v>
      </c>
      <c r="BE50" s="251">
        <f>+BE35+BE42+BE47</f>
        <v>36666028.34375</v>
      </c>
      <c r="BF50" s="251">
        <f t="shared" si="262"/>
        <v>36666028.34375</v>
      </c>
      <c r="BG50" s="251">
        <f t="shared" si="262"/>
        <v>36666028.34375</v>
      </c>
      <c r="BH50" s="251">
        <f t="shared" si="262"/>
        <v>36666028.34375</v>
      </c>
      <c r="BI50" s="251">
        <f t="shared" si="262"/>
        <v>36384778.34375</v>
      </c>
      <c r="BJ50" s="251">
        <f t="shared" si="262"/>
        <v>36384778.34375</v>
      </c>
      <c r="BK50" s="251">
        <f t="shared" si="262"/>
        <v>36384778.34375</v>
      </c>
      <c r="BL50" s="251">
        <f t="shared" si="262"/>
        <v>36384778.34375</v>
      </c>
    </row>
    <row r="51" spans="2:64" x14ac:dyDescent="0.2">
      <c r="B51" s="68"/>
      <c r="C51" s="257"/>
      <c r="D51" s="70"/>
      <c r="E51" s="71"/>
      <c r="F51" s="72"/>
      <c r="G51" s="72"/>
      <c r="H51" s="90"/>
      <c r="I51" s="74"/>
      <c r="J51" s="74"/>
      <c r="K51" s="74"/>
      <c r="L51" s="74"/>
      <c r="M51" s="74"/>
      <c r="N51" s="74"/>
      <c r="O51" s="74"/>
      <c r="P51" s="91"/>
      <c r="Q51" s="72"/>
      <c r="R51" s="91"/>
      <c r="S51" s="72"/>
      <c r="T51" s="72"/>
      <c r="U51" s="92"/>
      <c r="V51" s="93"/>
      <c r="W51" s="94"/>
      <c r="X51" s="95"/>
      <c r="Y51" s="74"/>
      <c r="Z51" s="74"/>
      <c r="AA51" s="73"/>
      <c r="AB51" s="96"/>
      <c r="AC51" s="96"/>
      <c r="AD51" s="96"/>
      <c r="AE51" s="74"/>
      <c r="AF51" s="73"/>
      <c r="AG51" s="96"/>
      <c r="AH51" s="96"/>
      <c r="AI51" s="96"/>
      <c r="AJ51" s="74"/>
      <c r="AK51" s="73"/>
      <c r="AL51" s="96"/>
      <c r="AM51" s="96"/>
      <c r="AN51" s="96"/>
      <c r="AO51" s="74"/>
      <c r="AP51" s="73"/>
      <c r="AQ51" s="96"/>
      <c r="AR51" s="96"/>
      <c r="AS51" s="96"/>
      <c r="AT51" s="74"/>
      <c r="AU51" s="73"/>
      <c r="AV51" s="96"/>
      <c r="AW51" s="96"/>
      <c r="AX51" s="96"/>
      <c r="AZ51" s="236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</row>
    <row r="52" spans="2:64" x14ac:dyDescent="0.2">
      <c r="B52" s="68"/>
      <c r="C52" s="89"/>
      <c r="D52" s="70"/>
      <c r="E52" s="71"/>
      <c r="F52" s="72"/>
      <c r="G52" s="72"/>
      <c r="H52" s="90"/>
      <c r="I52" s="74"/>
      <c r="J52" s="74"/>
      <c r="K52" s="74"/>
      <c r="L52" s="74"/>
      <c r="M52" s="74"/>
      <c r="N52" s="74"/>
      <c r="O52" s="74"/>
      <c r="P52" s="91"/>
      <c r="Q52" s="72"/>
      <c r="R52" s="91"/>
      <c r="S52" s="72"/>
      <c r="T52" s="72"/>
      <c r="U52" s="92"/>
      <c r="V52" s="93"/>
      <c r="W52" s="94"/>
      <c r="X52" s="95"/>
      <c r="Y52" s="74"/>
      <c r="Z52" s="74"/>
      <c r="AA52" s="73"/>
      <c r="AB52" s="96"/>
      <c r="AC52" s="96"/>
      <c r="AD52" s="96"/>
      <c r="AE52" s="74"/>
      <c r="AF52" s="73"/>
      <c r="AG52" s="96"/>
      <c r="AH52" s="96"/>
      <c r="AI52" s="96"/>
      <c r="AJ52" s="74"/>
      <c r="AK52" s="73"/>
      <c r="AL52" s="96"/>
      <c r="AM52" s="96"/>
      <c r="AN52" s="96"/>
      <c r="AO52" s="74"/>
      <c r="AP52" s="73"/>
      <c r="AQ52" s="96"/>
      <c r="AR52" s="96"/>
      <c r="AS52" s="96"/>
      <c r="AT52" s="74"/>
      <c r="AU52" s="73"/>
      <c r="AV52" s="96"/>
      <c r="AW52" s="96"/>
      <c r="AX52" s="96"/>
      <c r="AZ52" s="236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</row>
    <row r="53" spans="2:64" x14ac:dyDescent="0.2">
      <c r="B53" s="68"/>
      <c r="C53" s="89"/>
      <c r="D53" s="70"/>
      <c r="E53" s="71"/>
      <c r="F53" s="72"/>
      <c r="G53" s="72"/>
      <c r="H53" s="90"/>
      <c r="I53" s="74"/>
      <c r="J53" s="74"/>
      <c r="K53" s="74"/>
      <c r="L53" s="74"/>
      <c r="M53" s="74"/>
      <c r="N53" s="74"/>
      <c r="O53" s="74"/>
      <c r="P53" s="91"/>
      <c r="Q53" s="72"/>
      <c r="R53" s="91"/>
      <c r="S53" s="72"/>
      <c r="T53" s="72"/>
      <c r="U53" s="92"/>
      <c r="V53" s="93"/>
      <c r="W53" s="94"/>
      <c r="X53" s="95"/>
      <c r="Y53" s="74"/>
      <c r="Z53" s="74"/>
      <c r="AA53" s="73"/>
      <c r="AB53" s="96"/>
      <c r="AC53" s="96"/>
      <c r="AD53" s="96"/>
      <c r="AE53" s="74"/>
      <c r="AF53" s="73"/>
      <c r="AG53" s="96"/>
      <c r="AH53" s="96"/>
      <c r="AI53" s="96"/>
      <c r="AJ53" s="74"/>
      <c r="AK53" s="73"/>
      <c r="AL53" s="96"/>
      <c r="AM53" s="96"/>
      <c r="AN53" s="96"/>
      <c r="AO53" s="74"/>
      <c r="AP53" s="73"/>
      <c r="AQ53" s="96"/>
      <c r="AR53" s="96"/>
      <c r="AS53" s="96"/>
      <c r="AT53" s="74"/>
      <c r="AU53" s="73"/>
      <c r="AV53" s="96"/>
      <c r="AW53" s="96"/>
      <c r="AX53" s="96"/>
      <c r="AZ53" s="236"/>
      <c r="BA53" s="201"/>
      <c r="BB53" s="201"/>
      <c r="BC53" s="201"/>
      <c r="BD53" s="201"/>
      <c r="BE53" s="201"/>
      <c r="BF53" s="201"/>
      <c r="BG53" s="201"/>
      <c r="BH53" s="201"/>
      <c r="BI53" s="201"/>
      <c r="BJ53" s="201"/>
      <c r="BK53" s="201"/>
      <c r="BL53" s="201"/>
    </row>
    <row r="54" spans="2:64" s="6" customFormat="1" x14ac:dyDescent="0.2">
      <c r="B54" s="112"/>
      <c r="C54" s="113"/>
      <c r="D54" s="114"/>
      <c r="E54" s="115" t="s">
        <v>62</v>
      </c>
      <c r="F54" s="116"/>
      <c r="G54" s="116"/>
      <c r="H54" s="117"/>
      <c r="I54" s="118"/>
      <c r="J54" s="118"/>
      <c r="K54" s="118"/>
      <c r="L54" s="118"/>
      <c r="M54" s="118"/>
      <c r="N54" s="118"/>
      <c r="O54" s="118"/>
      <c r="P54" s="119"/>
      <c r="Q54" s="116"/>
      <c r="R54" s="119"/>
      <c r="S54" s="116"/>
      <c r="T54" s="116"/>
      <c r="U54" s="120"/>
      <c r="V54" s="121"/>
      <c r="W54" s="122"/>
      <c r="X54" s="123"/>
      <c r="Y54" s="118"/>
      <c r="Z54" s="118"/>
      <c r="AA54" s="124"/>
      <c r="AB54" s="125"/>
      <c r="AC54" s="125"/>
      <c r="AD54" s="125"/>
      <c r="AE54" s="118"/>
      <c r="AF54" s="124"/>
      <c r="AG54" s="125"/>
      <c r="AH54" s="125"/>
      <c r="AI54" s="125"/>
      <c r="AJ54" s="118"/>
      <c r="AK54" s="124"/>
      <c r="AL54" s="125"/>
      <c r="AM54" s="125"/>
      <c r="AN54" s="125"/>
      <c r="AO54" s="118"/>
      <c r="AP54" s="124"/>
      <c r="AQ54" s="125"/>
      <c r="AR54" s="125"/>
      <c r="AS54" s="125"/>
      <c r="AT54" s="118"/>
      <c r="AU54" s="124"/>
      <c r="AV54" s="125"/>
      <c r="AW54" s="125"/>
      <c r="AX54" s="125"/>
      <c r="AZ54" s="237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/>
      <c r="BK54" s="200"/>
      <c r="BL54" s="200"/>
    </row>
    <row r="55" spans="2:64" s="6" customFormat="1" x14ac:dyDescent="0.2">
      <c r="B55" s="126"/>
      <c r="C55" s="127">
        <v>39520</v>
      </c>
      <c r="D55" s="128">
        <v>42733</v>
      </c>
      <c r="E55" s="314" t="s">
        <v>397</v>
      </c>
      <c r="F55" s="315"/>
      <c r="G55" s="131"/>
      <c r="H55" s="131">
        <v>0.125</v>
      </c>
      <c r="I55" s="316">
        <v>245194040</v>
      </c>
      <c r="J55" s="132"/>
      <c r="K55" s="132"/>
      <c r="L55" s="316">
        <f t="shared" ref="L55:L60" si="263">I55+J55-K55</f>
        <v>245194040</v>
      </c>
      <c r="M55" s="132"/>
      <c r="N55" s="132"/>
      <c r="O55" s="316">
        <f t="shared" ref="O55:O60" si="264">L55+M55-N55</f>
        <v>245194040</v>
      </c>
      <c r="P55" s="133"/>
      <c r="Q55" s="130"/>
      <c r="R55" s="133">
        <f t="shared" ref="R55:R60" si="265">100%/H55</f>
        <v>8</v>
      </c>
      <c r="S55" s="130">
        <f t="shared" ref="S55:S60" si="266">R55*12</f>
        <v>96</v>
      </c>
      <c r="T55" s="130">
        <f t="shared" ref="T55:T60" si="267">MONTH(D55)</f>
        <v>12</v>
      </c>
      <c r="U55" s="134">
        <f t="shared" ref="U55:U60" si="268">YEAR(D55)</f>
        <v>2016</v>
      </c>
      <c r="V55" s="135">
        <f t="shared" ref="V55:V60" si="269">IF(T55=1, 12, T55-1)</f>
        <v>11</v>
      </c>
      <c r="W55" s="136">
        <f t="shared" ref="W55:W60" si="270">IF(T55=1,U55+R55-1,U55+R55)</f>
        <v>2024</v>
      </c>
      <c r="X55" s="137"/>
      <c r="Y55" s="132">
        <f t="shared" ref="Y55:Y60" si="271">L55/S55</f>
        <v>2554104.5833333335</v>
      </c>
      <c r="Z55" s="132">
        <v>35</v>
      </c>
      <c r="AA55" s="317">
        <v>11</v>
      </c>
      <c r="AB55" s="139">
        <f t="shared" ref="AB55:AB60" si="272">AA55*Y55</f>
        <v>28095150.416666668</v>
      </c>
      <c r="AC55" s="318">
        <v>181341425.41666666</v>
      </c>
      <c r="AD55" s="318">
        <f t="shared" ref="AD55:AD60" si="273">O55-AC55</f>
        <v>63852614.583333343</v>
      </c>
      <c r="AE55" s="132"/>
      <c r="AF55" s="138"/>
      <c r="AG55" s="139"/>
      <c r="AH55" s="139"/>
      <c r="AI55" s="139"/>
      <c r="AJ55" s="132"/>
      <c r="AK55" s="138"/>
      <c r="AL55" s="139"/>
      <c r="AM55" s="139"/>
      <c r="AN55" s="139"/>
      <c r="AO55" s="132"/>
      <c r="AP55" s="138"/>
      <c r="AQ55" s="139"/>
      <c r="AR55" s="139"/>
      <c r="AS55" s="139"/>
      <c r="AT55" s="132"/>
      <c r="AU55" s="138"/>
      <c r="AV55" s="139"/>
      <c r="AW55" s="139"/>
      <c r="AX55" s="139"/>
      <c r="AY55"/>
      <c r="AZ55" s="202">
        <f t="shared" ref="AZ55:AZ60" si="274">SUM(BA55:BL55)</f>
        <v>0</v>
      </c>
      <c r="BA55" s="203">
        <f t="shared" ref="BA55:BA60" si="275">+Y55*0</f>
        <v>0</v>
      </c>
      <c r="BB55" s="203">
        <f t="shared" ref="BB55:BB60" si="276">+Y55*0</f>
        <v>0</v>
      </c>
      <c r="BC55" s="203">
        <f t="shared" ref="BC55:BC60" si="277">+Y55*0</f>
        <v>0</v>
      </c>
      <c r="BD55" s="203">
        <f t="shared" ref="BD55:BD60" si="278">+Y55*0</f>
        <v>0</v>
      </c>
      <c r="BE55" s="203">
        <f t="shared" ref="BE55:BE60" si="279">+Y55*0</f>
        <v>0</v>
      </c>
      <c r="BF55" s="203">
        <f t="shared" ref="BF55:BF60" si="280">+Y55*0</f>
        <v>0</v>
      </c>
      <c r="BG55" s="203">
        <f t="shared" ref="BG55:BG60" si="281">+Y55*0</f>
        <v>0</v>
      </c>
      <c r="BH55" s="203">
        <f t="shared" ref="BH55:BH60" si="282">+Y55*0</f>
        <v>0</v>
      </c>
      <c r="BI55" s="203">
        <f t="shared" ref="BI55:BI60" si="283">+Y55*0</f>
        <v>0</v>
      </c>
      <c r="BJ55" s="203">
        <f t="shared" ref="BJ55:BJ60" si="284">+Y55*0</f>
        <v>0</v>
      </c>
      <c r="BK55" s="203">
        <f t="shared" ref="BK55:BK60" si="285">+Y55*0</f>
        <v>0</v>
      </c>
      <c r="BL55" s="203">
        <f t="shared" ref="BL55:BL60" si="286">+Y55*0</f>
        <v>0</v>
      </c>
    </row>
    <row r="56" spans="2:64" x14ac:dyDescent="0.2">
      <c r="B56" s="126"/>
      <c r="C56" s="127">
        <v>40522</v>
      </c>
      <c r="D56" s="128">
        <v>42733</v>
      </c>
      <c r="E56" s="129" t="s">
        <v>63</v>
      </c>
      <c r="F56" s="130"/>
      <c r="G56" s="131"/>
      <c r="H56" s="131">
        <v>0.125</v>
      </c>
      <c r="I56" s="132">
        <v>258015000</v>
      </c>
      <c r="J56" s="132"/>
      <c r="K56" s="132"/>
      <c r="L56" s="132">
        <f t="shared" si="263"/>
        <v>258015000</v>
      </c>
      <c r="M56" s="132"/>
      <c r="N56" s="132"/>
      <c r="O56" s="132">
        <f t="shared" si="264"/>
        <v>258015000</v>
      </c>
      <c r="P56" s="133"/>
      <c r="Q56" s="130"/>
      <c r="R56" s="133">
        <f t="shared" si="265"/>
        <v>8</v>
      </c>
      <c r="S56" s="130">
        <f t="shared" si="266"/>
        <v>96</v>
      </c>
      <c r="T56" s="130">
        <f t="shared" si="267"/>
        <v>12</v>
      </c>
      <c r="U56" s="134">
        <f t="shared" si="268"/>
        <v>2016</v>
      </c>
      <c r="V56" s="135">
        <f t="shared" si="269"/>
        <v>11</v>
      </c>
      <c r="W56" s="136">
        <f t="shared" si="270"/>
        <v>2024</v>
      </c>
      <c r="X56" s="137"/>
      <c r="Y56" s="132">
        <f t="shared" si="271"/>
        <v>2687656.25</v>
      </c>
      <c r="Z56" s="132">
        <v>35</v>
      </c>
      <c r="AA56" s="138">
        <v>12</v>
      </c>
      <c r="AB56" s="139">
        <f t="shared" si="272"/>
        <v>32251875</v>
      </c>
      <c r="AC56" s="139">
        <v>193511250</v>
      </c>
      <c r="AD56" s="139">
        <f t="shared" si="273"/>
        <v>64503750</v>
      </c>
      <c r="AE56" s="132">
        <f>+Z56-AA56</f>
        <v>23</v>
      </c>
      <c r="AF56" s="138">
        <v>12</v>
      </c>
      <c r="AG56" s="139">
        <f>AF56*Y56</f>
        <v>32251875</v>
      </c>
      <c r="AH56" s="139">
        <f t="shared" ref="AH56:AH60" si="287">AC56+AG56</f>
        <v>225763125</v>
      </c>
      <c r="AI56" s="139">
        <f>O56-AH56</f>
        <v>32251875</v>
      </c>
      <c r="AJ56" s="132">
        <f>+AE56-AF56</f>
        <v>11</v>
      </c>
      <c r="AK56" s="138">
        <v>12</v>
      </c>
      <c r="AL56" s="139">
        <f>AK56*Y56</f>
        <v>32251875</v>
      </c>
      <c r="AM56" s="139">
        <f>AH56+AL56</f>
        <v>258015000</v>
      </c>
      <c r="AN56" s="139">
        <f>O56-AM56</f>
        <v>0</v>
      </c>
      <c r="AO56" s="132"/>
      <c r="AP56" s="138"/>
      <c r="AQ56" s="139">
        <f>AP56*Y56</f>
        <v>0</v>
      </c>
      <c r="AR56" s="139">
        <f>AM56+AQ56</f>
        <v>258015000</v>
      </c>
      <c r="AS56" s="139">
        <f>O56-AR56</f>
        <v>0</v>
      </c>
      <c r="AT56" s="132"/>
      <c r="AU56" s="138"/>
      <c r="AV56" s="139">
        <f>AU56*AD56</f>
        <v>0</v>
      </c>
      <c r="AW56" s="139">
        <f>AR56+AV56</f>
        <v>258015000</v>
      </c>
      <c r="AX56" s="139">
        <f>O56-AW56</f>
        <v>0</v>
      </c>
      <c r="AZ56" s="202">
        <f t="shared" si="274"/>
        <v>0</v>
      </c>
      <c r="BA56" s="203">
        <f t="shared" si="275"/>
        <v>0</v>
      </c>
      <c r="BB56" s="203">
        <f t="shared" si="276"/>
        <v>0</v>
      </c>
      <c r="BC56" s="203">
        <f t="shared" si="277"/>
        <v>0</v>
      </c>
      <c r="BD56" s="203">
        <f t="shared" si="278"/>
        <v>0</v>
      </c>
      <c r="BE56" s="203">
        <f t="shared" si="279"/>
        <v>0</v>
      </c>
      <c r="BF56" s="203">
        <f t="shared" si="280"/>
        <v>0</v>
      </c>
      <c r="BG56" s="203">
        <f t="shared" si="281"/>
        <v>0</v>
      </c>
      <c r="BH56" s="203">
        <f t="shared" si="282"/>
        <v>0</v>
      </c>
      <c r="BI56" s="203">
        <f t="shared" si="283"/>
        <v>0</v>
      </c>
      <c r="BJ56" s="203">
        <f t="shared" si="284"/>
        <v>0</v>
      </c>
      <c r="BK56" s="203">
        <f t="shared" si="285"/>
        <v>0</v>
      </c>
      <c r="BL56" s="203">
        <f t="shared" si="286"/>
        <v>0</v>
      </c>
    </row>
    <row r="57" spans="2:64" x14ac:dyDescent="0.2">
      <c r="B57" s="126"/>
      <c r="C57" s="127">
        <v>40522</v>
      </c>
      <c r="D57" s="128">
        <v>42733</v>
      </c>
      <c r="E57" s="314" t="s">
        <v>398</v>
      </c>
      <c r="F57" s="315"/>
      <c r="G57" s="131"/>
      <c r="H57" s="131">
        <v>0.125</v>
      </c>
      <c r="I57" s="316">
        <v>180150000</v>
      </c>
      <c r="J57" s="132"/>
      <c r="K57" s="132"/>
      <c r="L57" s="316">
        <f t="shared" si="263"/>
        <v>180150000</v>
      </c>
      <c r="M57" s="132"/>
      <c r="N57" s="132"/>
      <c r="O57" s="316">
        <f t="shared" si="264"/>
        <v>180150000</v>
      </c>
      <c r="P57" s="133"/>
      <c r="Q57" s="130"/>
      <c r="R57" s="133">
        <f t="shared" si="265"/>
        <v>8</v>
      </c>
      <c r="S57" s="130">
        <f t="shared" si="266"/>
        <v>96</v>
      </c>
      <c r="T57" s="130">
        <f t="shared" si="267"/>
        <v>12</v>
      </c>
      <c r="U57" s="134">
        <f t="shared" si="268"/>
        <v>2016</v>
      </c>
      <c r="V57" s="135">
        <f t="shared" si="269"/>
        <v>11</v>
      </c>
      <c r="W57" s="136">
        <f t="shared" si="270"/>
        <v>2024</v>
      </c>
      <c r="X57" s="137"/>
      <c r="Y57" s="132">
        <f t="shared" si="271"/>
        <v>1876562.5</v>
      </c>
      <c r="Z57" s="132">
        <v>35</v>
      </c>
      <c r="AA57" s="317">
        <v>12</v>
      </c>
      <c r="AB57" s="139">
        <f t="shared" si="272"/>
        <v>22518750</v>
      </c>
      <c r="AC57" s="318">
        <v>135112500</v>
      </c>
      <c r="AD57" s="318">
        <f t="shared" si="273"/>
        <v>45037500</v>
      </c>
      <c r="AE57" s="132"/>
      <c r="AF57" s="138"/>
      <c r="AG57" s="139"/>
      <c r="AH57" s="139"/>
      <c r="AI57" s="139"/>
      <c r="AJ57" s="132"/>
      <c r="AK57" s="138"/>
      <c r="AL57" s="139"/>
      <c r="AM57" s="139"/>
      <c r="AN57" s="139"/>
      <c r="AO57" s="132"/>
      <c r="AP57" s="138"/>
      <c r="AQ57" s="139"/>
      <c r="AR57" s="139"/>
      <c r="AS57" s="139"/>
      <c r="AT57" s="132"/>
      <c r="AU57" s="138"/>
      <c r="AV57" s="139"/>
      <c r="AW57" s="139"/>
      <c r="AX57" s="139"/>
      <c r="AZ57" s="202">
        <f t="shared" si="274"/>
        <v>0</v>
      </c>
      <c r="BA57" s="203">
        <f t="shared" si="275"/>
        <v>0</v>
      </c>
      <c r="BB57" s="203">
        <f t="shared" si="276"/>
        <v>0</v>
      </c>
      <c r="BC57" s="203">
        <f t="shared" si="277"/>
        <v>0</v>
      </c>
      <c r="BD57" s="203">
        <f t="shared" si="278"/>
        <v>0</v>
      </c>
      <c r="BE57" s="203">
        <f t="shared" si="279"/>
        <v>0</v>
      </c>
      <c r="BF57" s="203">
        <f t="shared" si="280"/>
        <v>0</v>
      </c>
      <c r="BG57" s="203">
        <f t="shared" si="281"/>
        <v>0</v>
      </c>
      <c r="BH57" s="203">
        <f t="shared" si="282"/>
        <v>0</v>
      </c>
      <c r="BI57" s="203">
        <f t="shared" si="283"/>
        <v>0</v>
      </c>
      <c r="BJ57" s="203">
        <f t="shared" si="284"/>
        <v>0</v>
      </c>
      <c r="BK57" s="203">
        <f t="shared" si="285"/>
        <v>0</v>
      </c>
      <c r="BL57" s="203">
        <f t="shared" si="286"/>
        <v>0</v>
      </c>
    </row>
    <row r="58" spans="2:64" x14ac:dyDescent="0.2">
      <c r="B58" s="126"/>
      <c r="C58" s="127">
        <v>40522</v>
      </c>
      <c r="D58" s="128">
        <v>42733</v>
      </c>
      <c r="E58" s="314" t="s">
        <v>399</v>
      </c>
      <c r="F58" s="315"/>
      <c r="G58" s="131"/>
      <c r="H58" s="131">
        <v>0.125</v>
      </c>
      <c r="I58" s="316">
        <v>180150000</v>
      </c>
      <c r="J58" s="132"/>
      <c r="K58" s="132"/>
      <c r="L58" s="316">
        <f t="shared" si="263"/>
        <v>180150000</v>
      </c>
      <c r="M58" s="132"/>
      <c r="N58" s="132"/>
      <c r="O58" s="316">
        <f t="shared" si="264"/>
        <v>180150000</v>
      </c>
      <c r="P58" s="133"/>
      <c r="Q58" s="130"/>
      <c r="R58" s="133">
        <f t="shared" si="265"/>
        <v>8</v>
      </c>
      <c r="S58" s="130">
        <f t="shared" si="266"/>
        <v>96</v>
      </c>
      <c r="T58" s="130">
        <f t="shared" si="267"/>
        <v>12</v>
      </c>
      <c r="U58" s="134">
        <f t="shared" si="268"/>
        <v>2016</v>
      </c>
      <c r="V58" s="135">
        <f t="shared" si="269"/>
        <v>11</v>
      </c>
      <c r="W58" s="136">
        <f t="shared" si="270"/>
        <v>2024</v>
      </c>
      <c r="X58" s="137"/>
      <c r="Y58" s="132">
        <f t="shared" si="271"/>
        <v>1876562.5</v>
      </c>
      <c r="Z58" s="132">
        <v>35</v>
      </c>
      <c r="AA58" s="317">
        <v>10</v>
      </c>
      <c r="AB58" s="139">
        <f t="shared" si="272"/>
        <v>18765625</v>
      </c>
      <c r="AC58" s="318">
        <v>131359375</v>
      </c>
      <c r="AD58" s="318">
        <f t="shared" si="273"/>
        <v>48790625</v>
      </c>
      <c r="AE58" s="132"/>
      <c r="AF58" s="138"/>
      <c r="AG58" s="139"/>
      <c r="AH58" s="139"/>
      <c r="AI58" s="139"/>
      <c r="AJ58" s="132"/>
      <c r="AK58" s="138"/>
      <c r="AL58" s="139"/>
      <c r="AM58" s="139"/>
      <c r="AN58" s="139"/>
      <c r="AO58" s="132"/>
      <c r="AP58" s="138"/>
      <c r="AQ58" s="139"/>
      <c r="AR58" s="139"/>
      <c r="AS58" s="139"/>
      <c r="AT58" s="132"/>
      <c r="AU58" s="138"/>
      <c r="AV58" s="139"/>
      <c r="AW58" s="139"/>
      <c r="AX58" s="139"/>
      <c r="AZ58" s="202">
        <f t="shared" si="274"/>
        <v>0</v>
      </c>
      <c r="BA58" s="203">
        <f t="shared" si="275"/>
        <v>0</v>
      </c>
      <c r="BB58" s="203">
        <f t="shared" si="276"/>
        <v>0</v>
      </c>
      <c r="BC58" s="203">
        <f t="shared" si="277"/>
        <v>0</v>
      </c>
      <c r="BD58" s="203">
        <f t="shared" si="278"/>
        <v>0</v>
      </c>
      <c r="BE58" s="203">
        <f t="shared" si="279"/>
        <v>0</v>
      </c>
      <c r="BF58" s="203">
        <f t="shared" si="280"/>
        <v>0</v>
      </c>
      <c r="BG58" s="203">
        <f t="shared" si="281"/>
        <v>0</v>
      </c>
      <c r="BH58" s="203">
        <f t="shared" si="282"/>
        <v>0</v>
      </c>
      <c r="BI58" s="203">
        <f t="shared" si="283"/>
        <v>0</v>
      </c>
      <c r="BJ58" s="203">
        <f t="shared" si="284"/>
        <v>0</v>
      </c>
      <c r="BK58" s="203">
        <f t="shared" si="285"/>
        <v>0</v>
      </c>
      <c r="BL58" s="203">
        <f t="shared" si="286"/>
        <v>0</v>
      </c>
    </row>
    <row r="59" spans="2:64" x14ac:dyDescent="0.2">
      <c r="B59" s="126"/>
      <c r="C59" s="127">
        <v>40522</v>
      </c>
      <c r="D59" s="128">
        <v>42733</v>
      </c>
      <c r="E59" s="314" t="s">
        <v>400</v>
      </c>
      <c r="F59" s="315"/>
      <c r="G59" s="131"/>
      <c r="H59" s="131">
        <v>0.125</v>
      </c>
      <c r="I59" s="316">
        <v>180150000</v>
      </c>
      <c r="J59" s="132"/>
      <c r="K59" s="132"/>
      <c r="L59" s="316">
        <f t="shared" si="263"/>
        <v>180150000</v>
      </c>
      <c r="M59" s="132"/>
      <c r="N59" s="132"/>
      <c r="O59" s="316">
        <f t="shared" si="264"/>
        <v>180150000</v>
      </c>
      <c r="P59" s="133"/>
      <c r="Q59" s="130"/>
      <c r="R59" s="133">
        <f t="shared" si="265"/>
        <v>8</v>
      </c>
      <c r="S59" s="130">
        <f t="shared" si="266"/>
        <v>96</v>
      </c>
      <c r="T59" s="130">
        <f t="shared" si="267"/>
        <v>12</v>
      </c>
      <c r="U59" s="134">
        <f t="shared" si="268"/>
        <v>2016</v>
      </c>
      <c r="V59" s="135">
        <f t="shared" si="269"/>
        <v>11</v>
      </c>
      <c r="W59" s="136">
        <f t="shared" si="270"/>
        <v>2024</v>
      </c>
      <c r="X59" s="137"/>
      <c r="Y59" s="132">
        <f t="shared" si="271"/>
        <v>1876562.5</v>
      </c>
      <c r="Z59" s="132">
        <v>35</v>
      </c>
      <c r="AA59" s="317">
        <v>10</v>
      </c>
      <c r="AB59" s="139">
        <f t="shared" si="272"/>
        <v>18765625</v>
      </c>
      <c r="AC59" s="318">
        <v>131359375</v>
      </c>
      <c r="AD59" s="318">
        <f t="shared" si="273"/>
        <v>48790625</v>
      </c>
      <c r="AE59" s="132"/>
      <c r="AF59" s="138"/>
      <c r="AG59" s="139"/>
      <c r="AH59" s="139"/>
      <c r="AI59" s="139"/>
      <c r="AJ59" s="132"/>
      <c r="AK59" s="138"/>
      <c r="AL59" s="139"/>
      <c r="AM59" s="139"/>
      <c r="AN59" s="139"/>
      <c r="AO59" s="132"/>
      <c r="AP59" s="138"/>
      <c r="AQ59" s="139"/>
      <c r="AR59" s="139"/>
      <c r="AS59" s="139"/>
      <c r="AT59" s="132"/>
      <c r="AU59" s="138"/>
      <c r="AV59" s="139"/>
      <c r="AW59" s="139"/>
      <c r="AX59" s="139"/>
      <c r="AZ59" s="202">
        <f t="shared" si="274"/>
        <v>0</v>
      </c>
      <c r="BA59" s="203">
        <f t="shared" si="275"/>
        <v>0</v>
      </c>
      <c r="BB59" s="203">
        <f t="shared" si="276"/>
        <v>0</v>
      </c>
      <c r="BC59" s="203">
        <f t="shared" si="277"/>
        <v>0</v>
      </c>
      <c r="BD59" s="203">
        <f t="shared" si="278"/>
        <v>0</v>
      </c>
      <c r="BE59" s="203">
        <f t="shared" si="279"/>
        <v>0</v>
      </c>
      <c r="BF59" s="203">
        <f t="shared" si="280"/>
        <v>0</v>
      </c>
      <c r="BG59" s="203">
        <f t="shared" si="281"/>
        <v>0</v>
      </c>
      <c r="BH59" s="203">
        <f t="shared" si="282"/>
        <v>0</v>
      </c>
      <c r="BI59" s="203">
        <f t="shared" si="283"/>
        <v>0</v>
      </c>
      <c r="BJ59" s="203">
        <f t="shared" si="284"/>
        <v>0</v>
      </c>
      <c r="BK59" s="203">
        <f t="shared" si="285"/>
        <v>0</v>
      </c>
      <c r="BL59" s="203">
        <f t="shared" si="286"/>
        <v>0</v>
      </c>
    </row>
    <row r="60" spans="2:64" x14ac:dyDescent="0.2">
      <c r="B60" s="126"/>
      <c r="C60" s="127">
        <v>42048</v>
      </c>
      <c r="D60" s="128">
        <v>42733</v>
      </c>
      <c r="E60" s="352" t="s">
        <v>64</v>
      </c>
      <c r="F60" s="332"/>
      <c r="G60" s="131"/>
      <c r="H60" s="131">
        <v>0.125</v>
      </c>
      <c r="I60" s="334">
        <v>178638000</v>
      </c>
      <c r="J60" s="132"/>
      <c r="K60" s="132"/>
      <c r="L60" s="334">
        <f t="shared" si="263"/>
        <v>178638000</v>
      </c>
      <c r="M60" s="132"/>
      <c r="N60" s="132"/>
      <c r="O60" s="334">
        <f t="shared" si="264"/>
        <v>178638000</v>
      </c>
      <c r="P60" s="133"/>
      <c r="Q60" s="130"/>
      <c r="R60" s="133">
        <f t="shared" si="265"/>
        <v>8</v>
      </c>
      <c r="S60" s="130">
        <f t="shared" si="266"/>
        <v>96</v>
      </c>
      <c r="T60" s="130">
        <f t="shared" si="267"/>
        <v>12</v>
      </c>
      <c r="U60" s="134">
        <f t="shared" si="268"/>
        <v>2016</v>
      </c>
      <c r="V60" s="135">
        <f t="shared" si="269"/>
        <v>11</v>
      </c>
      <c r="W60" s="136">
        <f t="shared" si="270"/>
        <v>2024</v>
      </c>
      <c r="X60" s="137"/>
      <c r="Y60" s="132">
        <f t="shared" si="271"/>
        <v>1860812.5</v>
      </c>
      <c r="Z60" s="132">
        <v>35</v>
      </c>
      <c r="AA60" s="341">
        <v>12</v>
      </c>
      <c r="AB60" s="139">
        <f t="shared" si="272"/>
        <v>22329750</v>
      </c>
      <c r="AC60" s="342">
        <v>133978500</v>
      </c>
      <c r="AD60" s="342">
        <f t="shared" si="273"/>
        <v>44659500</v>
      </c>
      <c r="AE60" s="132">
        <f>+Z60-AA60</f>
        <v>23</v>
      </c>
      <c r="AF60" s="138">
        <v>12</v>
      </c>
      <c r="AG60" s="139">
        <f>AF60*Y60</f>
        <v>22329750</v>
      </c>
      <c r="AH60" s="139">
        <f t="shared" si="287"/>
        <v>156308250</v>
      </c>
      <c r="AI60" s="139">
        <f>O60-AH60</f>
        <v>22329750</v>
      </c>
      <c r="AJ60" s="132">
        <f>+AE60-AF60</f>
        <v>11</v>
      </c>
      <c r="AK60" s="138">
        <v>12</v>
      </c>
      <c r="AL60" s="342">
        <f>AK60*Y60</f>
        <v>22329750</v>
      </c>
      <c r="AM60" s="342">
        <f t="shared" ref="AM60" si="288">AH60+AL60</f>
        <v>178638000</v>
      </c>
      <c r="AN60" s="342">
        <f>O60-AM60</f>
        <v>0</v>
      </c>
      <c r="AO60" s="132"/>
      <c r="AP60" s="138"/>
      <c r="AQ60" s="342">
        <f>AP60*Y60</f>
        <v>0</v>
      </c>
      <c r="AR60" s="342"/>
      <c r="AS60" s="342"/>
      <c r="AT60" s="132"/>
      <c r="AU60" s="138"/>
      <c r="AV60" s="342">
        <f>AU60*AD60</f>
        <v>0</v>
      </c>
      <c r="AW60" s="342"/>
      <c r="AX60" s="342"/>
      <c r="AZ60" s="202">
        <f t="shared" si="274"/>
        <v>0</v>
      </c>
      <c r="BA60" s="203">
        <f t="shared" si="275"/>
        <v>0</v>
      </c>
      <c r="BB60" s="203">
        <f t="shared" si="276"/>
        <v>0</v>
      </c>
      <c r="BC60" s="203">
        <f t="shared" si="277"/>
        <v>0</v>
      </c>
      <c r="BD60" s="203">
        <f t="shared" si="278"/>
        <v>0</v>
      </c>
      <c r="BE60" s="203">
        <f t="shared" si="279"/>
        <v>0</v>
      </c>
      <c r="BF60" s="203">
        <f t="shared" si="280"/>
        <v>0</v>
      </c>
      <c r="BG60" s="203">
        <f t="shared" si="281"/>
        <v>0</v>
      </c>
      <c r="BH60" s="203">
        <f t="shared" si="282"/>
        <v>0</v>
      </c>
      <c r="BI60" s="203">
        <f t="shared" si="283"/>
        <v>0</v>
      </c>
      <c r="BJ60" s="203">
        <f t="shared" si="284"/>
        <v>0</v>
      </c>
      <c r="BK60" s="203">
        <f t="shared" si="285"/>
        <v>0</v>
      </c>
      <c r="BL60" s="203">
        <f t="shared" si="286"/>
        <v>0</v>
      </c>
    </row>
    <row r="61" spans="2:64" x14ac:dyDescent="0.2">
      <c r="B61" s="140"/>
      <c r="C61" s="141"/>
      <c r="D61" s="142"/>
      <c r="E61" s="143"/>
      <c r="F61" s="144"/>
      <c r="G61" s="144"/>
      <c r="H61" s="145"/>
      <c r="I61" s="146"/>
      <c r="J61" s="146"/>
      <c r="K61" s="146"/>
      <c r="L61" s="146"/>
      <c r="M61" s="146"/>
      <c r="N61" s="146"/>
      <c r="O61" s="146"/>
      <c r="P61" s="147"/>
      <c r="Q61" s="144"/>
      <c r="R61" s="147"/>
      <c r="S61" s="144"/>
      <c r="T61" s="144"/>
      <c r="U61" s="148"/>
      <c r="V61" s="149"/>
      <c r="W61" s="150"/>
      <c r="X61" s="151"/>
      <c r="Y61" s="146"/>
      <c r="Z61" s="146"/>
      <c r="AA61" s="152"/>
      <c r="AB61" s="153"/>
      <c r="AC61" s="153"/>
      <c r="AD61" s="153"/>
      <c r="AE61" s="146"/>
      <c r="AF61" s="152"/>
      <c r="AG61" s="153"/>
      <c r="AH61" s="153"/>
      <c r="AI61" s="153"/>
      <c r="AJ61" s="146"/>
      <c r="AK61" s="152"/>
      <c r="AL61" s="153"/>
      <c r="AM61" s="153"/>
      <c r="AN61" s="153"/>
      <c r="AO61" s="146"/>
      <c r="AP61" s="152"/>
      <c r="AQ61" s="153"/>
      <c r="AR61" s="153"/>
      <c r="AS61" s="153"/>
      <c r="AT61" s="146"/>
      <c r="AU61" s="152"/>
      <c r="AV61" s="153"/>
      <c r="AW61" s="153"/>
      <c r="AX61" s="153"/>
      <c r="AZ61" s="346"/>
      <c r="BA61" s="204"/>
      <c r="BB61" s="204"/>
      <c r="BC61" s="204"/>
      <c r="BD61" s="204"/>
      <c r="BE61" s="204"/>
      <c r="BF61" s="204"/>
      <c r="BG61" s="204"/>
      <c r="BH61" s="204"/>
      <c r="BI61" s="204"/>
      <c r="BJ61" s="204"/>
      <c r="BK61" s="204"/>
      <c r="BL61" s="204"/>
    </row>
    <row r="62" spans="2:64" s="6" customFormat="1" x14ac:dyDescent="0.2">
      <c r="B62" s="9"/>
      <c r="C62" s="155"/>
      <c r="D62" s="156"/>
      <c r="E62" s="157"/>
      <c r="F62" s="8"/>
      <c r="G62" s="8"/>
      <c r="H62" s="158"/>
      <c r="I62" s="159">
        <f>SUM(I11:I61)</f>
        <v>3192702237</v>
      </c>
      <c r="J62" s="159">
        <f>SUM(J11:J61)</f>
        <v>48400000</v>
      </c>
      <c r="K62" s="159">
        <f>SUM(K11:K61)</f>
        <v>0</v>
      </c>
      <c r="L62" s="159">
        <f>SUM(L55:L61)</f>
        <v>1222297040</v>
      </c>
      <c r="M62" s="159"/>
      <c r="N62" s="159"/>
      <c r="O62" s="159"/>
      <c r="P62" s="160"/>
      <c r="Q62" s="8"/>
      <c r="R62" s="160"/>
      <c r="S62" s="8"/>
      <c r="T62" s="8"/>
      <c r="U62" s="161"/>
      <c r="V62" s="162"/>
      <c r="W62" s="163"/>
      <c r="X62" s="164"/>
      <c r="Y62" s="159"/>
      <c r="Z62" s="159"/>
      <c r="AA62" s="280"/>
      <c r="AB62" s="193">
        <f t="shared" ref="AB62:AD62" si="289">SUM(AB55:AB61)</f>
        <v>142726775.41666669</v>
      </c>
      <c r="AC62" s="159">
        <f t="shared" si="289"/>
        <v>906662425.41666663</v>
      </c>
      <c r="AD62" s="159">
        <f t="shared" si="289"/>
        <v>315634614.58333337</v>
      </c>
      <c r="AE62" s="159"/>
      <c r="AF62" s="280"/>
      <c r="AG62" s="193">
        <f t="shared" ref="AG62:AI62" si="290">SUM(AG55:AG61)</f>
        <v>54581625</v>
      </c>
      <c r="AH62" s="159">
        <f t="shared" si="290"/>
        <v>382071375</v>
      </c>
      <c r="AI62" s="159">
        <f t="shared" si="290"/>
        <v>54581625</v>
      </c>
      <c r="AJ62" s="159"/>
      <c r="AK62" s="280"/>
      <c r="AL62" s="193">
        <f>SUM(AL55:AL61)</f>
        <v>54581625</v>
      </c>
      <c r="AM62" s="159">
        <f>SUM(AM55:AM61)</f>
        <v>436653000</v>
      </c>
      <c r="AN62" s="159">
        <f t="shared" ref="AN62" si="291">SUM(AN55:AN61)</f>
        <v>0</v>
      </c>
      <c r="AO62" s="159"/>
      <c r="AP62" s="280"/>
      <c r="AQ62" s="193">
        <f>SUM(AQ55:AQ61)</f>
        <v>0</v>
      </c>
      <c r="AR62" s="159">
        <f>SUM(AR55:AR61)</f>
        <v>258015000</v>
      </c>
      <c r="AS62" s="159">
        <f t="shared" ref="AS62" si="292">SUM(AS55:AS61)</f>
        <v>0</v>
      </c>
      <c r="AT62" s="159"/>
      <c r="AU62" s="280"/>
      <c r="AV62" s="193">
        <f>SUM(AV55:AV61)</f>
        <v>0</v>
      </c>
      <c r="AW62" s="159">
        <f>SUM(AW55:AW61)</f>
        <v>258015000</v>
      </c>
      <c r="AX62" s="159">
        <f t="shared" ref="AX62" si="293">SUM(AX55:AX61)</f>
        <v>0</v>
      </c>
      <c r="AZ62" s="193">
        <f t="shared" ref="AZ62:BL62" si="294">SUM(AZ55:AZ61)</f>
        <v>0</v>
      </c>
      <c r="BA62" s="159">
        <f>SUM(BA55:BA61)</f>
        <v>0</v>
      </c>
      <c r="BB62" s="159">
        <f t="shared" si="294"/>
        <v>0</v>
      </c>
      <c r="BC62" s="159">
        <f t="shared" si="294"/>
        <v>0</v>
      </c>
      <c r="BD62" s="159">
        <f t="shared" si="294"/>
        <v>0</v>
      </c>
      <c r="BE62" s="159">
        <f t="shared" si="294"/>
        <v>0</v>
      </c>
      <c r="BF62" s="159">
        <f t="shared" si="294"/>
        <v>0</v>
      </c>
      <c r="BG62" s="159">
        <f t="shared" si="294"/>
        <v>0</v>
      </c>
      <c r="BH62" s="159">
        <f t="shared" si="294"/>
        <v>0</v>
      </c>
      <c r="BI62" s="159">
        <f t="shared" si="294"/>
        <v>0</v>
      </c>
      <c r="BJ62" s="159">
        <f t="shared" si="294"/>
        <v>0</v>
      </c>
      <c r="BK62" s="159">
        <f t="shared" si="294"/>
        <v>0</v>
      </c>
      <c r="BL62" s="159">
        <f t="shared" si="294"/>
        <v>0</v>
      </c>
    </row>
    <row r="63" spans="2:64" x14ac:dyDescent="0.2">
      <c r="E63" s="165"/>
      <c r="H63" s="166"/>
      <c r="P63" s="167"/>
      <c r="R63" s="167"/>
      <c r="U63" s="168"/>
      <c r="V63" s="169"/>
      <c r="W63" s="170"/>
      <c r="X63" s="171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2:64" ht="10.8" thickBot="1" x14ac:dyDescent="0.25">
      <c r="E64" s="165"/>
      <c r="H64" s="166"/>
      <c r="L64" s="193">
        <f>+L50+L62</f>
        <v>6974040958</v>
      </c>
      <c r="P64" s="167"/>
      <c r="R64" s="167"/>
      <c r="U64" s="168"/>
      <c r="V64" s="169"/>
      <c r="W64" s="170"/>
      <c r="X64" s="171"/>
      <c r="Z64" s="25"/>
      <c r="AA64" s="25"/>
      <c r="AB64" s="228">
        <f>+AB35+AB62</f>
        <v>339098110.10745615</v>
      </c>
      <c r="AC64" s="229">
        <f>+AC35+AC62</f>
        <v>2613695405.5197368</v>
      </c>
      <c r="AD64" s="229">
        <f>+AD35+AD62</f>
        <v>2707701931.4802632</v>
      </c>
      <c r="AE64" s="25"/>
      <c r="AF64" s="25"/>
      <c r="AG64" s="228">
        <f>+AG35+AG62</f>
        <v>460388900.31578946</v>
      </c>
      <c r="AH64" s="229">
        <f>+AH35+AH62</f>
        <v>2494911630.4188595</v>
      </c>
      <c r="AI64" s="229">
        <f>+AI35+AI62</f>
        <v>2040841666.5811403</v>
      </c>
      <c r="AJ64" s="25"/>
      <c r="AK64" s="25"/>
      <c r="AL64" s="228">
        <f>+AL50+AL62</f>
        <v>471056293.32072365</v>
      </c>
      <c r="AM64" s="326">
        <f>+AM50+AM62</f>
        <v>2965967923.7395835</v>
      </c>
      <c r="AN64" s="326">
        <f>+AN50+AN62</f>
        <v>2730630654.2604165</v>
      </c>
      <c r="AO64" s="25"/>
      <c r="AP64" s="25"/>
      <c r="AQ64" s="228">
        <f>+AQ50+AQ62</f>
        <v>490824271.59375</v>
      </c>
      <c r="AR64" s="326">
        <f>+AR50+AR62</f>
        <v>2731459753.333333</v>
      </c>
      <c r="AS64" s="326">
        <f>+AS50+AS62</f>
        <v>2731604722.6666665</v>
      </c>
      <c r="AT64" s="25"/>
      <c r="AU64" s="25"/>
      <c r="AV64" s="228">
        <f>+AV50+AV62</f>
        <v>439090256.79166669</v>
      </c>
      <c r="AW64" s="326">
        <f>+AW50+AW62</f>
        <v>3078050010.125</v>
      </c>
      <c r="AX64" s="326">
        <f>+AX50+AX62</f>
        <v>2145014465.875</v>
      </c>
      <c r="AZ64" s="228">
        <f>+AZ50+AZ62</f>
        <v>439090256.79166669</v>
      </c>
      <c r="BA64" s="326">
        <f>+BA50+BA62</f>
        <v>36888945.010416672</v>
      </c>
      <c r="BB64" s="326">
        <f t="shared" ref="BB64:BL64" si="295">+BB50+BB62</f>
        <v>36666028.34375</v>
      </c>
      <c r="BC64" s="326">
        <f t="shared" si="295"/>
        <v>36666028.34375</v>
      </c>
      <c r="BD64" s="326">
        <f t="shared" si="295"/>
        <v>36666028.34375</v>
      </c>
      <c r="BE64" s="326">
        <f t="shared" si="295"/>
        <v>36666028.34375</v>
      </c>
      <c r="BF64" s="326">
        <f t="shared" si="295"/>
        <v>36666028.34375</v>
      </c>
      <c r="BG64" s="326">
        <f t="shared" si="295"/>
        <v>36666028.34375</v>
      </c>
      <c r="BH64" s="326">
        <f t="shared" si="295"/>
        <v>36666028.34375</v>
      </c>
      <c r="BI64" s="326">
        <f t="shared" si="295"/>
        <v>36384778.34375</v>
      </c>
      <c r="BJ64" s="326">
        <f t="shared" si="295"/>
        <v>36384778.34375</v>
      </c>
      <c r="BK64" s="326">
        <f t="shared" si="295"/>
        <v>36384778.34375</v>
      </c>
      <c r="BL64" s="326">
        <f t="shared" si="295"/>
        <v>36384778.34375</v>
      </c>
    </row>
    <row r="65" spans="2:53" ht="10.8" thickTop="1" x14ac:dyDescent="0.2">
      <c r="B65" s="10" t="s">
        <v>65</v>
      </c>
      <c r="E65" s="165"/>
      <c r="H65" s="166"/>
      <c r="P65" s="167"/>
      <c r="R65" s="167"/>
      <c r="U65" s="168"/>
      <c r="V65" s="169"/>
      <c r="W65" s="170"/>
      <c r="X65" s="171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Z65" s="172"/>
    </row>
    <row r="66" spans="2:53" x14ac:dyDescent="0.2">
      <c r="B66" s="10"/>
      <c r="E66" s="165"/>
      <c r="H66" s="166"/>
      <c r="L66" s="193">
        <f>+L36+L64</f>
        <v>6974040958</v>
      </c>
      <c r="P66" s="167"/>
      <c r="R66" s="167"/>
      <c r="U66" s="168"/>
      <c r="V66" s="169"/>
      <c r="W66" s="170"/>
      <c r="X66" s="171"/>
      <c r="Z66" s="25"/>
      <c r="AA66" s="25"/>
      <c r="AB66" s="25"/>
      <c r="AC66" s="176">
        <f>+AC64</f>
        <v>2613695405.5197368</v>
      </c>
      <c r="AD66" s="176">
        <f>+L66-AC66</f>
        <v>4360345552.4802628</v>
      </c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Z66" s="225"/>
      <c r="BA66" s="172"/>
    </row>
    <row r="67" spans="2:53" x14ac:dyDescent="0.2">
      <c r="C67" s="173" t="s">
        <v>12</v>
      </c>
      <c r="E67" s="165"/>
      <c r="H67" s="166"/>
      <c r="L67" s="308">
        <f>+L55+L58+L59+L57</f>
        <v>785644040</v>
      </c>
      <c r="M67" s="176" t="s">
        <v>387</v>
      </c>
      <c r="P67" s="167"/>
      <c r="R67" s="167"/>
      <c r="U67" s="168"/>
      <c r="V67" s="169"/>
      <c r="W67" s="170"/>
      <c r="X67" s="171"/>
      <c r="Z67" s="25"/>
      <c r="AA67" s="25"/>
      <c r="AB67" s="25"/>
      <c r="AC67" s="310">
        <f>+AC58+AC59+AC55+AC57</f>
        <v>579172675.41666663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2:53" x14ac:dyDescent="0.2">
      <c r="C68" s="172" t="s">
        <v>46</v>
      </c>
      <c r="E68" s="165"/>
      <c r="H68" s="174"/>
      <c r="P68" s="167"/>
      <c r="R68" s="167"/>
      <c r="U68" s="168"/>
      <c r="V68" s="169"/>
      <c r="W68" s="170"/>
      <c r="X68" s="171"/>
      <c r="Z68" s="25"/>
      <c r="AA68" s="25"/>
      <c r="AB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2:53" x14ac:dyDescent="0.2">
      <c r="C69" s="172" t="s">
        <v>66</v>
      </c>
      <c r="E69" s="165"/>
      <c r="H69" s="174"/>
      <c r="L69" s="309">
        <f>+L66-L67</f>
        <v>6188396918</v>
      </c>
      <c r="P69" s="167"/>
      <c r="R69" s="167"/>
      <c r="U69" s="168"/>
      <c r="V69" s="169"/>
      <c r="W69" s="170"/>
      <c r="X69" s="171"/>
      <c r="Z69" s="25"/>
      <c r="AA69" s="25"/>
      <c r="AB69" s="25"/>
      <c r="AC69" s="176">
        <f>+AC66-AC67</f>
        <v>2034522730.1030703</v>
      </c>
      <c r="AD69" s="309">
        <f>+L69-AC69</f>
        <v>4153874187.8969297</v>
      </c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</row>
    <row r="70" spans="2:53" x14ac:dyDescent="0.2">
      <c r="C70" s="172"/>
      <c r="E70" s="165"/>
      <c r="H70" s="175"/>
      <c r="L70" s="343">
        <f>+L15</f>
        <v>175911139</v>
      </c>
      <c r="P70" s="167"/>
      <c r="R70" s="167"/>
      <c r="U70" s="168"/>
      <c r="V70" s="169"/>
      <c r="W70" s="170"/>
      <c r="X70" s="171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343">
        <f>+AM15</f>
        <v>175911139</v>
      </c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2:53" x14ac:dyDescent="0.2">
      <c r="E71" s="165"/>
      <c r="H71" s="166"/>
      <c r="L71" s="343">
        <f>+L60</f>
        <v>178638000</v>
      </c>
      <c r="P71" s="167"/>
      <c r="R71" s="167"/>
      <c r="U71" s="168"/>
      <c r="V71" s="169"/>
      <c r="W71" s="170"/>
      <c r="X71" s="171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343">
        <f>+AM60</f>
        <v>178638000</v>
      </c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2:53" x14ac:dyDescent="0.2">
      <c r="E72" s="165"/>
      <c r="H72" s="166"/>
      <c r="L72" s="343">
        <f>+L13</f>
        <v>193897458</v>
      </c>
      <c r="P72" s="167"/>
      <c r="R72" s="167"/>
      <c r="U72" s="168"/>
      <c r="V72" s="169"/>
      <c r="W72" s="170"/>
      <c r="X72" s="171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343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2:53" x14ac:dyDescent="0.2">
      <c r="E73" s="165"/>
      <c r="H73" s="166"/>
      <c r="L73" s="343">
        <f>+L14</f>
        <v>176885845</v>
      </c>
      <c r="P73" s="167"/>
      <c r="R73" s="167"/>
      <c r="U73" s="168"/>
      <c r="V73" s="169"/>
      <c r="W73" s="170"/>
      <c r="X73" s="171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343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2:53" ht="10.8" thickBot="1" x14ac:dyDescent="0.25">
      <c r="E74" s="165"/>
      <c r="H74" s="166"/>
      <c r="L74" s="308">
        <f>+L29</f>
        <v>240000000</v>
      </c>
      <c r="P74" s="167"/>
      <c r="R74" s="167"/>
      <c r="U74" s="168"/>
      <c r="V74" s="169"/>
      <c r="W74" s="170"/>
      <c r="X74" s="171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343"/>
      <c r="AN74" s="25"/>
      <c r="AO74" s="25"/>
      <c r="AP74" s="25"/>
      <c r="AQ74" s="308">
        <f>+AQ29</f>
        <v>17500000</v>
      </c>
      <c r="AR74" s="308">
        <f>+AR29</f>
        <v>92500000</v>
      </c>
      <c r="AS74" s="308">
        <f>+AS29</f>
        <v>147500000</v>
      </c>
      <c r="AT74" s="25"/>
      <c r="AU74" s="25"/>
      <c r="AV74" s="308">
        <f>+AV29</f>
        <v>0</v>
      </c>
      <c r="AW74" s="308">
        <f>+AW29</f>
        <v>0</v>
      </c>
      <c r="AX74" s="308">
        <f>+AX29</f>
        <v>0</v>
      </c>
    </row>
    <row r="75" spans="2:53" ht="10.8" thickBot="1" x14ac:dyDescent="0.25">
      <c r="E75" s="165"/>
      <c r="H75" s="166"/>
      <c r="L75" s="344">
        <f>+L69-L70-L71-L72-L73-L74</f>
        <v>5223064476</v>
      </c>
      <c r="P75" s="167"/>
      <c r="R75" s="167"/>
      <c r="U75" s="168"/>
      <c r="V75" s="169"/>
      <c r="W75" s="170"/>
      <c r="X75" s="171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344">
        <f>+AL64-AL70</f>
        <v>471056293.32072365</v>
      </c>
      <c r="AM75" s="344">
        <f>+AM64-AM70-AM71</f>
        <v>2611418784.7395835</v>
      </c>
      <c r="AN75" s="344">
        <f>+AN64-AN70</f>
        <v>2730630654.2604165</v>
      </c>
      <c r="AO75" s="368"/>
      <c r="AP75" s="368"/>
      <c r="AQ75" s="369">
        <f>+AQ50+AQ62-AQ74</f>
        <v>473324271.59375</v>
      </c>
      <c r="AR75" s="369">
        <f t="shared" ref="AR75:AS75" si="296">+AR50+AR62-AR74</f>
        <v>2638959753.333333</v>
      </c>
      <c r="AS75" s="369">
        <f t="shared" si="296"/>
        <v>2584104722.6666665</v>
      </c>
      <c r="AT75" s="368"/>
      <c r="AU75" s="368"/>
      <c r="AV75" s="369">
        <f>+AV50+AV62-AV74</f>
        <v>439090256.79166669</v>
      </c>
      <c r="AW75" s="369">
        <f t="shared" ref="AW75:AX75" si="297">+AW50+AW62-AW74</f>
        <v>3078050010.125</v>
      </c>
      <c r="AX75" s="369">
        <f t="shared" si="297"/>
        <v>2145014465.875</v>
      </c>
    </row>
    <row r="76" spans="2:53" x14ac:dyDescent="0.2">
      <c r="C76" s="173" t="s">
        <v>25</v>
      </c>
      <c r="E76" s="165"/>
      <c r="H76" s="166"/>
      <c r="P76" s="167"/>
      <c r="R76" s="167"/>
      <c r="U76" s="168"/>
      <c r="V76" s="169"/>
      <c r="W76" s="170"/>
      <c r="X76" s="171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2:53" x14ac:dyDescent="0.2">
      <c r="E77" s="165"/>
      <c r="H77" s="166"/>
      <c r="P77" s="167"/>
      <c r="R77" s="167"/>
      <c r="U77" s="168"/>
      <c r="V77" s="169"/>
      <c r="W77" s="170"/>
      <c r="X77" s="171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2:53" x14ac:dyDescent="0.2">
      <c r="C78" s="172" t="s">
        <v>46</v>
      </c>
      <c r="D78"/>
      <c r="G78" s="172"/>
      <c r="H78" s="172" t="e">
        <f>#REF!</f>
        <v>#REF!</v>
      </c>
      <c r="I78"/>
      <c r="L78" s="176"/>
      <c r="P78" s="167"/>
      <c r="R78" s="167"/>
      <c r="U78" s="168"/>
      <c r="V78" s="169"/>
      <c r="W78" s="170"/>
      <c r="X78" s="171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2:53" x14ac:dyDescent="0.2">
      <c r="C79" s="172" t="s">
        <v>66</v>
      </c>
      <c r="D79"/>
      <c r="G79" s="172"/>
      <c r="H79" s="177" t="e">
        <f>#REF!</f>
        <v>#REF!</v>
      </c>
      <c r="I79"/>
      <c r="L79" s="176"/>
      <c r="P79" s="167"/>
      <c r="R79" s="167"/>
      <c r="U79" s="168"/>
      <c r="V79" s="169"/>
      <c r="W79" s="170"/>
      <c r="X79" s="171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2:53" x14ac:dyDescent="0.2">
      <c r="C80" s="172"/>
      <c r="D80"/>
      <c r="G80" s="172"/>
      <c r="H80" s="172" t="e">
        <f>H78-H79</f>
        <v>#REF!</v>
      </c>
      <c r="I80"/>
      <c r="L80" s="176"/>
      <c r="P80" s="167"/>
      <c r="R80" s="167"/>
      <c r="U80" s="168"/>
      <c r="V80" s="169"/>
      <c r="W80" s="170"/>
      <c r="X80" s="171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2:50" x14ac:dyDescent="0.2">
      <c r="C81" s="172" t="s">
        <v>67</v>
      </c>
      <c r="D81"/>
      <c r="G81" s="172" t="e">
        <f>#REF!</f>
        <v>#REF!</v>
      </c>
      <c r="H81"/>
      <c r="I81"/>
      <c r="L81" s="176"/>
      <c r="P81" s="167"/>
      <c r="R81" s="167"/>
      <c r="U81" s="168"/>
      <c r="V81" s="169"/>
      <c r="W81" s="170"/>
      <c r="X81" s="171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2:50" x14ac:dyDescent="0.2">
      <c r="C82" s="172" t="s">
        <v>68</v>
      </c>
      <c r="D82"/>
      <c r="G82" s="177" t="e">
        <f>-#REF!</f>
        <v>#REF!</v>
      </c>
      <c r="H82"/>
      <c r="I82"/>
      <c r="P82" s="167"/>
      <c r="R82" s="167"/>
      <c r="U82" s="168"/>
      <c r="V82" s="169"/>
      <c r="W82" s="170"/>
      <c r="X82" s="171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2:50" x14ac:dyDescent="0.2">
      <c r="C83" s="24"/>
      <c r="D83"/>
      <c r="G83" s="172"/>
      <c r="H83" s="172" t="e">
        <f>SUM(G81:G83)</f>
        <v>#REF!</v>
      </c>
      <c r="I83"/>
      <c r="P83" s="167"/>
      <c r="R83" s="167"/>
      <c r="U83" s="168"/>
      <c r="V83" s="169"/>
      <c r="W83" s="170"/>
      <c r="X83" s="171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2:50" x14ac:dyDescent="0.2">
      <c r="B84" s="6"/>
      <c r="C84" s="172" t="s">
        <v>69</v>
      </c>
      <c r="D84"/>
      <c r="G84" s="172"/>
      <c r="H84" s="178" t="e">
        <f>H80-H83</f>
        <v>#REF!</v>
      </c>
      <c r="I84"/>
      <c r="P84" s="167"/>
      <c r="R84" s="167"/>
      <c r="U84" s="168"/>
      <c r="V84" s="169"/>
      <c r="W84" s="170"/>
      <c r="X84" s="171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2:50" x14ac:dyDescent="0.2">
      <c r="C85" s="172"/>
      <c r="D85" s="24"/>
      <c r="G85" s="172"/>
      <c r="H85"/>
      <c r="I85"/>
      <c r="P85" s="167"/>
      <c r="R85" s="167"/>
      <c r="U85" s="168"/>
      <c r="V85" s="169"/>
      <c r="W85" s="170"/>
      <c r="X85" s="171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2:50" x14ac:dyDescent="0.2">
      <c r="C86" s="172"/>
      <c r="D86" s="24"/>
      <c r="G86" s="172"/>
      <c r="H86"/>
      <c r="I86"/>
      <c r="P86" s="167"/>
      <c r="R86" s="167"/>
      <c r="U86" s="168"/>
      <c r="V86" s="169"/>
      <c r="W86" s="170"/>
      <c r="X86" s="171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2:50" x14ac:dyDescent="0.2">
      <c r="B87" s="10" t="s">
        <v>70</v>
      </c>
      <c r="C87" s="172"/>
      <c r="D87" s="24"/>
      <c r="F87" s="172"/>
      <c r="G87" s="172"/>
      <c r="H87" s="172"/>
      <c r="P87" s="167"/>
      <c r="R87" s="167"/>
      <c r="U87" s="168"/>
      <c r="V87" s="169"/>
      <c r="W87" s="170"/>
      <c r="X87" s="171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2:50" x14ac:dyDescent="0.2">
      <c r="C88" s="172"/>
      <c r="D88" s="24"/>
      <c r="F88" s="172"/>
      <c r="G88" s="172"/>
      <c r="H88" s="172"/>
      <c r="P88" s="167"/>
      <c r="R88" s="167"/>
      <c r="U88" s="168"/>
      <c r="V88" s="169"/>
      <c r="W88" s="170"/>
      <c r="X88" s="171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2:50" x14ac:dyDescent="0.2">
      <c r="C89" s="24">
        <v>1</v>
      </c>
      <c r="D89" s="174" t="s">
        <v>71</v>
      </c>
      <c r="E89" t="s">
        <v>72</v>
      </c>
      <c r="F89" s="172"/>
      <c r="G89" s="172" t="e">
        <f>G82</f>
        <v>#REF!</v>
      </c>
      <c r="H89"/>
      <c r="I89"/>
      <c r="J89"/>
      <c r="K89"/>
      <c r="L89"/>
      <c r="M89"/>
      <c r="N89"/>
      <c r="O89"/>
    </row>
    <row r="90" spans="2:50" x14ac:dyDescent="0.2">
      <c r="C90"/>
      <c r="D90" s="24" t="s">
        <v>73</v>
      </c>
      <c r="E90" t="s">
        <v>74</v>
      </c>
      <c r="G90" s="172" t="e">
        <f>G81</f>
        <v>#REF!</v>
      </c>
      <c r="H90"/>
      <c r="I90"/>
      <c r="J90"/>
      <c r="K90"/>
      <c r="L90"/>
      <c r="M90"/>
      <c r="N90"/>
      <c r="O90"/>
    </row>
    <row r="91" spans="2:50" x14ac:dyDescent="0.2">
      <c r="C91"/>
      <c r="D91" s="24" t="s">
        <v>20</v>
      </c>
      <c r="F91" s="17" t="s">
        <v>21</v>
      </c>
      <c r="H91" s="172" t="e">
        <f>SUM(G89:G91)</f>
        <v>#REF!</v>
      </c>
      <c r="I91"/>
      <c r="J91"/>
      <c r="K91"/>
      <c r="L91"/>
      <c r="M91"/>
      <c r="N91"/>
      <c r="O91"/>
    </row>
    <row r="92" spans="2:50" x14ac:dyDescent="0.2">
      <c r="C92"/>
      <c r="D92"/>
      <c r="E92" s="13" t="s">
        <v>75</v>
      </c>
      <c r="H92"/>
      <c r="I92"/>
      <c r="J92"/>
      <c r="K92"/>
      <c r="L92"/>
      <c r="M92"/>
      <c r="N92"/>
      <c r="O92"/>
    </row>
    <row r="93" spans="2:50" x14ac:dyDescent="0.2">
      <c r="C93"/>
      <c r="D93"/>
      <c r="H93"/>
      <c r="I93"/>
      <c r="J93"/>
      <c r="K93"/>
      <c r="L93"/>
      <c r="M93"/>
      <c r="N93"/>
      <c r="O93"/>
    </row>
    <row r="94" spans="2:50" x14ac:dyDescent="0.2">
      <c r="C94"/>
      <c r="D94"/>
      <c r="H94"/>
      <c r="I94"/>
      <c r="J94"/>
      <c r="K94"/>
      <c r="L94"/>
      <c r="M94"/>
      <c r="N94"/>
      <c r="O94"/>
    </row>
    <row r="95" spans="2:50" x14ac:dyDescent="0.2">
      <c r="C95"/>
      <c r="D95"/>
      <c r="H95"/>
      <c r="I95"/>
      <c r="J95"/>
      <c r="K95"/>
      <c r="L95"/>
      <c r="M95"/>
      <c r="N95"/>
      <c r="O95"/>
    </row>
    <row r="96" spans="2:50" x14ac:dyDescent="0.2">
      <c r="C96"/>
      <c r="D96"/>
      <c r="H96"/>
      <c r="I96"/>
      <c r="J96"/>
      <c r="K96"/>
      <c r="L96"/>
      <c r="M96"/>
      <c r="N96"/>
      <c r="O96"/>
    </row>
    <row r="97" spans="3:15" x14ac:dyDescent="0.2">
      <c r="C97"/>
      <c r="D97"/>
      <c r="H97"/>
      <c r="I97"/>
      <c r="J97"/>
      <c r="K97"/>
      <c r="L97"/>
      <c r="M97"/>
      <c r="N97"/>
      <c r="O97"/>
    </row>
    <row r="98" spans="3:15" x14ac:dyDescent="0.2">
      <c r="C98"/>
      <c r="D98"/>
      <c r="H98"/>
      <c r="I98"/>
      <c r="J98"/>
      <c r="K98"/>
      <c r="L98"/>
      <c r="M98"/>
      <c r="N98"/>
      <c r="O98"/>
    </row>
  </sheetData>
  <mergeCells count="46">
    <mergeCell ref="AU6:AX6"/>
    <mergeCell ref="AU7:AU8"/>
    <mergeCell ref="AV7:AV8"/>
    <mergeCell ref="AW7:AW8"/>
    <mergeCell ref="AX7:AX8"/>
    <mergeCell ref="AF6:AI6"/>
    <mergeCell ref="AF7:AF8"/>
    <mergeCell ref="AG7:AG8"/>
    <mergeCell ref="AH7:AH8"/>
    <mergeCell ref="AI7:AI8"/>
    <mergeCell ref="X6:Y7"/>
    <mergeCell ref="B6:B8"/>
    <mergeCell ref="C6:C8"/>
    <mergeCell ref="E6:F8"/>
    <mergeCell ref="G6:H7"/>
    <mergeCell ref="I6:L6"/>
    <mergeCell ref="I7:I8"/>
    <mergeCell ref="J7:J8"/>
    <mergeCell ref="K7:K8"/>
    <mergeCell ref="M7:M8"/>
    <mergeCell ref="N7:N8"/>
    <mergeCell ref="P7:Q7"/>
    <mergeCell ref="M6:O6"/>
    <mergeCell ref="P6:S6"/>
    <mergeCell ref="R7:S7"/>
    <mergeCell ref="T6:U6"/>
    <mergeCell ref="T7:T8"/>
    <mergeCell ref="U7:U8"/>
    <mergeCell ref="V7:V8"/>
    <mergeCell ref="W7:W8"/>
    <mergeCell ref="V6:W6"/>
    <mergeCell ref="AA6:AD6"/>
    <mergeCell ref="AA7:AA8"/>
    <mergeCell ref="AB7:AB8"/>
    <mergeCell ref="AC7:AC8"/>
    <mergeCell ref="AD7:AD8"/>
    <mergeCell ref="AK7:AK8"/>
    <mergeCell ref="AL7:AL8"/>
    <mergeCell ref="AM7:AM8"/>
    <mergeCell ref="AK6:AN6"/>
    <mergeCell ref="AN7:AN8"/>
    <mergeCell ref="AP6:AS6"/>
    <mergeCell ref="AP7:AP8"/>
    <mergeCell ref="AQ7:AQ8"/>
    <mergeCell ref="AR7:AR8"/>
    <mergeCell ref="AS7:AS8"/>
  </mergeCells>
  <pageMargins left="1.6929133858267718" right="0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BK84"/>
  <sheetViews>
    <sheetView workbookViewId="0">
      <pane xSplit="7" ySplit="8" topLeftCell="AO27" activePane="bottomRight" state="frozen"/>
      <selection activeCell="AE10" sqref="AE10"/>
      <selection pane="topRight" activeCell="AE10" sqref="AE10"/>
      <selection pane="bottomLeft" activeCell="AE10" sqref="AE10"/>
      <selection pane="bottomRight" activeCell="AU55" sqref="AU55"/>
    </sheetView>
  </sheetViews>
  <sheetFormatPr defaultRowHeight="10.199999999999999" x14ac:dyDescent="0.2"/>
  <cols>
    <col min="1" max="1" width="2.85546875" customWidth="1"/>
    <col min="3" max="3" width="14.7109375" style="179" bestFit="1" customWidth="1"/>
    <col min="4" max="4" width="14.7109375" style="23" customWidth="1"/>
    <col min="5" max="5" width="2.85546875" customWidth="1"/>
    <col min="6" max="6" width="35.140625" customWidth="1"/>
    <col min="7" max="7" width="14" style="24" customWidth="1"/>
    <col min="8" max="8" width="17.42578125" style="25" hidden="1" customWidth="1"/>
    <col min="9" max="9" width="16.85546875" style="25" hidden="1" customWidth="1"/>
    <col min="10" max="10" width="15.7109375" style="25" hidden="1" customWidth="1"/>
    <col min="11" max="13" width="18.42578125" style="25" hidden="1" customWidth="1"/>
    <col min="14" max="14" width="18.42578125" style="25" customWidth="1"/>
    <col min="15" max="15" width="5.42578125" style="25" customWidth="1"/>
    <col min="16" max="16" width="7.140625" style="25" customWidth="1"/>
    <col min="17" max="18" width="7.85546875" customWidth="1"/>
    <col min="19" max="19" width="8.28515625" customWidth="1"/>
    <col min="20" max="22" width="7.85546875" customWidth="1"/>
    <col min="23" max="23" width="12.140625" customWidth="1"/>
    <col min="24" max="24" width="15" customWidth="1"/>
    <col min="25" max="25" width="6.42578125" customWidth="1"/>
    <col min="26" max="26" width="6.85546875" customWidth="1"/>
    <col min="27" max="27" width="13.85546875" customWidth="1"/>
    <col min="28" max="28" width="16.7109375" customWidth="1"/>
    <col min="29" max="29" width="14.42578125" customWidth="1"/>
    <col min="30" max="30" width="8" customWidth="1"/>
    <col min="31" max="31" width="8.140625" customWidth="1"/>
    <col min="32" max="32" width="13.85546875" customWidth="1"/>
    <col min="33" max="34" width="16.140625" customWidth="1"/>
    <col min="35" max="35" width="7.85546875" customWidth="1"/>
    <col min="36" max="36" width="9.42578125" customWidth="1"/>
    <col min="37" max="39" width="16.140625" customWidth="1"/>
    <col min="40" max="40" width="10.7109375" customWidth="1"/>
    <col min="41" max="41" width="10.85546875" customWidth="1"/>
    <col min="42" max="43" width="16.140625" customWidth="1"/>
    <col min="44" max="44" width="17.7109375" customWidth="1"/>
    <col min="45" max="45" width="9.28515625" customWidth="1"/>
    <col min="46" max="46" width="8.7109375" customWidth="1"/>
    <col min="47" max="49" width="17.7109375" customWidth="1"/>
    <col min="50" max="50" width="1.140625" customWidth="1"/>
    <col min="51" max="51" width="14" customWidth="1"/>
    <col min="52" max="63" width="12.85546875" customWidth="1"/>
  </cols>
  <sheetData>
    <row r="1" spans="2:63" ht="10.8" thickBot="1" x14ac:dyDescent="0.25"/>
    <row r="2" spans="2:63" ht="10.5" customHeight="1" x14ac:dyDescent="0.2">
      <c r="B2" s="14" t="s">
        <v>22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2:63" ht="10.5" customHeight="1" x14ac:dyDescent="0.2">
      <c r="B3" s="1" t="s">
        <v>23</v>
      </c>
      <c r="C3" s="18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</row>
    <row r="4" spans="2:63" ht="11.25" customHeight="1" thickBot="1" x14ac:dyDescent="0.25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6" spans="2:63" s="6" customFormat="1" ht="10.5" customHeight="1" x14ac:dyDescent="0.2">
      <c r="B6" s="391" t="s">
        <v>7</v>
      </c>
      <c r="C6" s="430" t="s">
        <v>29</v>
      </c>
      <c r="D6" s="41"/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 t="s">
        <v>32</v>
      </c>
      <c r="M6" s="419"/>
      <c r="N6" s="420"/>
      <c r="O6" s="421" t="s">
        <v>33</v>
      </c>
      <c r="P6" s="422"/>
      <c r="Q6" s="422"/>
      <c r="R6" s="423"/>
      <c r="S6" s="396" t="s">
        <v>34</v>
      </c>
      <c r="T6" s="397"/>
      <c r="U6" s="396" t="s">
        <v>35</v>
      </c>
      <c r="V6" s="397"/>
      <c r="W6" s="398" t="s">
        <v>36</v>
      </c>
      <c r="X6" s="399"/>
      <c r="Y6" s="424">
        <v>44926</v>
      </c>
      <c r="Z6" s="425"/>
      <c r="AA6" s="425"/>
      <c r="AB6" s="425"/>
      <c r="AC6" s="426"/>
      <c r="AD6" s="424">
        <v>45291</v>
      </c>
      <c r="AE6" s="425"/>
      <c r="AF6" s="425"/>
      <c r="AG6" s="425"/>
      <c r="AH6" s="426"/>
      <c r="AI6" s="424">
        <v>45657</v>
      </c>
      <c r="AJ6" s="425"/>
      <c r="AK6" s="425"/>
      <c r="AL6" s="425"/>
      <c r="AM6" s="426"/>
      <c r="AN6" s="424">
        <v>46022</v>
      </c>
      <c r="AO6" s="425"/>
      <c r="AP6" s="425"/>
      <c r="AQ6" s="425"/>
      <c r="AR6" s="426"/>
      <c r="AS6" s="424">
        <v>46387</v>
      </c>
      <c r="AT6" s="425"/>
      <c r="AU6" s="425"/>
      <c r="AV6" s="425"/>
      <c r="AW6" s="426"/>
    </row>
    <row r="7" spans="2:63" s="6" customFormat="1" ht="10.5" customHeight="1" x14ac:dyDescent="0.2">
      <c r="B7" s="391"/>
      <c r="C7" s="430"/>
      <c r="D7" s="43" t="s">
        <v>76</v>
      </c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416" t="s">
        <v>40</v>
      </c>
      <c r="P7" s="417"/>
      <c r="Q7" s="416" t="s">
        <v>41</v>
      </c>
      <c r="R7" s="417"/>
      <c r="S7" s="394" t="s">
        <v>42</v>
      </c>
      <c r="T7" s="394" t="s">
        <v>43</v>
      </c>
      <c r="U7" s="394" t="s">
        <v>42</v>
      </c>
      <c r="V7" s="394" t="s">
        <v>43</v>
      </c>
      <c r="W7" s="400"/>
      <c r="X7" s="401"/>
      <c r="Y7" s="409" t="s">
        <v>44</v>
      </c>
      <c r="Z7" s="427"/>
      <c r="AA7" s="392" t="s">
        <v>45</v>
      </c>
      <c r="AB7" s="393" t="s">
        <v>25</v>
      </c>
      <c r="AC7" s="392" t="s">
        <v>26</v>
      </c>
      <c r="AD7" s="409" t="s">
        <v>44</v>
      </c>
      <c r="AE7" s="427"/>
      <c r="AF7" s="392" t="s">
        <v>45</v>
      </c>
      <c r="AG7" s="393" t="s">
        <v>25</v>
      </c>
      <c r="AH7" s="392" t="s">
        <v>26</v>
      </c>
      <c r="AI7" s="409" t="s">
        <v>44</v>
      </c>
      <c r="AJ7" s="427"/>
      <c r="AK7" s="392" t="s">
        <v>45</v>
      </c>
      <c r="AL7" s="393" t="s">
        <v>25</v>
      </c>
      <c r="AM7" s="392" t="s">
        <v>26</v>
      </c>
      <c r="AN7" s="409" t="s">
        <v>44</v>
      </c>
      <c r="AO7" s="427"/>
      <c r="AP7" s="392" t="s">
        <v>45</v>
      </c>
      <c r="AQ7" s="393" t="s">
        <v>25</v>
      </c>
      <c r="AR7" s="392" t="s">
        <v>26</v>
      </c>
      <c r="AS7" s="409" t="s">
        <v>44</v>
      </c>
      <c r="AT7" s="427"/>
      <c r="AU7" s="392" t="s">
        <v>45</v>
      </c>
      <c r="AV7" s="393" t="s">
        <v>25</v>
      </c>
      <c r="AW7" s="392" t="s">
        <v>26</v>
      </c>
      <c r="AY7" s="197" t="s">
        <v>272</v>
      </c>
      <c r="AZ7" s="197" t="s">
        <v>260</v>
      </c>
      <c r="BA7" s="197" t="s">
        <v>261</v>
      </c>
      <c r="BB7" s="197" t="s">
        <v>262</v>
      </c>
      <c r="BC7" s="197" t="s">
        <v>263</v>
      </c>
      <c r="BD7" s="197" t="s">
        <v>264</v>
      </c>
      <c r="BE7" s="197" t="s">
        <v>265</v>
      </c>
      <c r="BF7" s="197" t="s">
        <v>266</v>
      </c>
      <c r="BG7" s="197" t="s">
        <v>267</v>
      </c>
      <c r="BH7" s="197" t="s">
        <v>268</v>
      </c>
      <c r="BI7" s="197" t="s">
        <v>269</v>
      </c>
      <c r="BJ7" s="197" t="s">
        <v>270</v>
      </c>
      <c r="BK7" s="197" t="s">
        <v>271</v>
      </c>
    </row>
    <row r="8" spans="2:63" s="6" customFormat="1" x14ac:dyDescent="0.2">
      <c r="B8" s="391"/>
      <c r="C8" s="430"/>
      <c r="D8" s="45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49" t="s">
        <v>43</v>
      </c>
      <c r="P8" s="49" t="s">
        <v>42</v>
      </c>
      <c r="Q8" s="49" t="s">
        <v>43</v>
      </c>
      <c r="R8" s="49" t="s">
        <v>42</v>
      </c>
      <c r="S8" s="395"/>
      <c r="T8" s="395"/>
      <c r="U8" s="395"/>
      <c r="V8" s="395"/>
      <c r="W8" s="50" t="s">
        <v>40</v>
      </c>
      <c r="X8" s="51" t="s">
        <v>41</v>
      </c>
      <c r="Y8" s="428"/>
      <c r="Z8" s="429"/>
      <c r="AA8" s="392"/>
      <c r="AB8" s="393"/>
      <c r="AC8" s="392"/>
      <c r="AD8" s="428"/>
      <c r="AE8" s="429"/>
      <c r="AF8" s="392"/>
      <c r="AG8" s="393"/>
      <c r="AH8" s="392"/>
      <c r="AI8" s="428"/>
      <c r="AJ8" s="429"/>
      <c r="AK8" s="392"/>
      <c r="AL8" s="393"/>
      <c r="AM8" s="392"/>
      <c r="AN8" s="428"/>
      <c r="AO8" s="429"/>
      <c r="AP8" s="392"/>
      <c r="AQ8" s="393"/>
      <c r="AR8" s="392"/>
      <c r="AS8" s="428"/>
      <c r="AT8" s="429"/>
      <c r="AU8" s="392"/>
      <c r="AV8" s="393"/>
      <c r="AW8" s="392"/>
      <c r="AY8" s="198">
        <v>2026</v>
      </c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</row>
    <row r="9" spans="2:63" x14ac:dyDescent="0.2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9"/>
      <c r="P9" s="59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2:63" s="6" customFormat="1" x14ac:dyDescent="0.2">
      <c r="B10" s="61"/>
      <c r="C10" s="184" t="s">
        <v>6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1"/>
      <c r="AA10" s="67"/>
      <c r="AB10" s="67"/>
      <c r="AC10" s="67"/>
      <c r="AD10" s="67"/>
      <c r="AE10" s="61"/>
      <c r="AF10" s="67"/>
      <c r="AG10" s="67"/>
      <c r="AH10" s="67"/>
      <c r="AI10" s="67"/>
      <c r="AJ10" s="61"/>
      <c r="AK10" s="67"/>
      <c r="AL10" s="67"/>
      <c r="AM10" s="67"/>
      <c r="AN10" s="67"/>
      <c r="AO10" s="61"/>
      <c r="AP10" s="67"/>
      <c r="AQ10" s="67"/>
      <c r="AR10" s="67"/>
      <c r="AS10" s="67"/>
      <c r="AT10" s="61"/>
      <c r="AU10" s="67"/>
      <c r="AV10" s="67"/>
      <c r="AW10" s="67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</row>
    <row r="11" spans="2:63" x14ac:dyDescent="0.2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</row>
    <row r="12" spans="2:63" x14ac:dyDescent="0.2">
      <c r="B12" s="75"/>
      <c r="C12" s="76">
        <v>41722</v>
      </c>
      <c r="D12" s="77"/>
      <c r="E12" s="78" t="s">
        <v>6</v>
      </c>
      <c r="F12" s="79"/>
      <c r="G12" s="80">
        <v>0.1</v>
      </c>
      <c r="H12" s="81">
        <v>124000000</v>
      </c>
      <c r="I12" s="81"/>
      <c r="J12" s="81"/>
      <c r="K12" s="81">
        <f t="shared" ref="K12:K47" si="0">H12+I12-J12</f>
        <v>124000000</v>
      </c>
      <c r="L12" s="81"/>
      <c r="M12" s="81"/>
      <c r="N12" s="81">
        <f t="shared" ref="N12:N47" si="1">K12+L12-M12</f>
        <v>124000000</v>
      </c>
      <c r="O12" s="185">
        <v>4</v>
      </c>
      <c r="P12" s="79">
        <f>O12*12</f>
        <v>48</v>
      </c>
      <c r="Q12" s="82">
        <f>100%/G12</f>
        <v>10</v>
      </c>
      <c r="R12" s="79">
        <f>Q12*12</f>
        <v>120</v>
      </c>
      <c r="S12" s="79">
        <f>MONTH(C12)</f>
        <v>3</v>
      </c>
      <c r="T12" s="83">
        <f>YEAR(C12)</f>
        <v>2014</v>
      </c>
      <c r="U12" s="84">
        <f t="shared" ref="U12:U40" si="2">IF(S12=1, 12, S12-1)</f>
        <v>2</v>
      </c>
      <c r="V12" s="85">
        <f t="shared" ref="V12:V40" si="3">IF(S12=1,T12+Q12-1,T12+Q12)</f>
        <v>2024</v>
      </c>
      <c r="W12" s="86">
        <f>H12/P12</f>
        <v>2583333.3333333335</v>
      </c>
      <c r="X12" s="81">
        <v>420542.63565891463</v>
      </c>
      <c r="Y12" s="88">
        <v>26</v>
      </c>
      <c r="Z12" s="87">
        <v>12</v>
      </c>
      <c r="AA12" s="88">
        <f t="shared" ref="AA12:AA40" si="4">Z12*X12</f>
        <v>5046511.6279069753</v>
      </c>
      <c r="AB12" s="88">
        <v>118112403.10077521</v>
      </c>
      <c r="AC12" s="88">
        <f t="shared" ref="AC12:AC40" si="5">N12-AB12</f>
        <v>5887596.899224788</v>
      </c>
      <c r="AD12" s="88">
        <f t="shared" ref="AD12:AD40" si="6">+Y12-Z12</f>
        <v>14</v>
      </c>
      <c r="AE12" s="87">
        <v>12</v>
      </c>
      <c r="AF12" s="88">
        <f t="shared" ref="AF12:AF40" si="7">AE12*X12</f>
        <v>5046511.6279069753</v>
      </c>
      <c r="AG12" s="88">
        <f t="shared" ref="AG12:AG40" si="8">+AB12+AF12</f>
        <v>123158914.72868219</v>
      </c>
      <c r="AH12" s="88">
        <f t="shared" ref="AH12:AH40" si="9">N12-AG12</f>
        <v>841085.27131780982</v>
      </c>
      <c r="AI12" s="88">
        <f t="shared" ref="AI12:AI40" si="10">+AD12-AE12</f>
        <v>2</v>
      </c>
      <c r="AJ12" s="87">
        <v>2</v>
      </c>
      <c r="AK12" s="88">
        <f>AJ12*X12</f>
        <v>841085.27131782926</v>
      </c>
      <c r="AL12" s="88">
        <f t="shared" ref="AL12:AL40" si="11">+AG12+AK12</f>
        <v>124000000.00000001</v>
      </c>
      <c r="AM12" s="88">
        <f>N12-AL12</f>
        <v>0</v>
      </c>
      <c r="AN12" s="88">
        <f t="shared" ref="AN12:AN40" si="12">+AI12-AJ12</f>
        <v>0</v>
      </c>
      <c r="AO12" s="87">
        <v>0</v>
      </c>
      <c r="AP12" s="88">
        <f>AO12*AC12</f>
        <v>0</v>
      </c>
      <c r="AQ12" s="88">
        <f t="shared" ref="AQ12:AQ40" si="13">+AL12+AP12</f>
        <v>124000000.00000001</v>
      </c>
      <c r="AR12" s="88">
        <f>N12-AQ12</f>
        <v>0</v>
      </c>
      <c r="AS12" s="88">
        <f t="shared" ref="AS12:AS40" si="14">+AN12-AO12</f>
        <v>0</v>
      </c>
      <c r="AT12" s="87">
        <v>0</v>
      </c>
      <c r="AU12" s="88">
        <f>AT12*AH12</f>
        <v>0</v>
      </c>
      <c r="AV12" s="88">
        <f t="shared" ref="AV12:AV40" si="15">+AQ12+AU12</f>
        <v>124000000.00000001</v>
      </c>
      <c r="AW12" s="88">
        <f>N12-AV12</f>
        <v>0</v>
      </c>
      <c r="AY12" s="202">
        <f>SUM(AZ12:BK12)</f>
        <v>0</v>
      </c>
      <c r="AZ12" s="203">
        <f>+X12*0</f>
        <v>0</v>
      </c>
      <c r="BA12" s="203">
        <f>+X12*0</f>
        <v>0</v>
      </c>
      <c r="BB12" s="203">
        <f>+X12*0</f>
        <v>0</v>
      </c>
      <c r="BC12" s="203">
        <f>+X12*0</f>
        <v>0</v>
      </c>
      <c r="BD12" s="203">
        <f>+X12*0</f>
        <v>0</v>
      </c>
      <c r="BE12" s="203">
        <f>+X12*0</f>
        <v>0</v>
      </c>
      <c r="BF12" s="203">
        <f>+X12*0</f>
        <v>0</v>
      </c>
      <c r="BG12" s="203">
        <f>+X12*0</f>
        <v>0</v>
      </c>
      <c r="BH12" s="203">
        <f>+X12*0</f>
        <v>0</v>
      </c>
      <c r="BI12" s="203">
        <f>+X12*0</f>
        <v>0</v>
      </c>
      <c r="BJ12" s="203">
        <f>+X12*0</f>
        <v>0</v>
      </c>
      <c r="BK12" s="203">
        <f>+X12*0</f>
        <v>0</v>
      </c>
    </row>
    <row r="13" spans="2:63" x14ac:dyDescent="0.2">
      <c r="B13" s="75"/>
      <c r="C13" s="76">
        <v>41750</v>
      </c>
      <c r="D13" s="77"/>
      <c r="E13" s="78" t="s">
        <v>6</v>
      </c>
      <c r="F13" s="79"/>
      <c r="G13" s="80">
        <v>0.1</v>
      </c>
      <c r="H13" s="81">
        <v>93000000</v>
      </c>
      <c r="I13" s="81"/>
      <c r="J13" s="81"/>
      <c r="K13" s="81">
        <f t="shared" si="0"/>
        <v>93000000</v>
      </c>
      <c r="L13" s="81"/>
      <c r="M13" s="81"/>
      <c r="N13" s="81">
        <f t="shared" si="1"/>
        <v>93000000</v>
      </c>
      <c r="O13" s="185">
        <v>4</v>
      </c>
      <c r="P13" s="79">
        <f t="shared" ref="P13:P40" si="16">O13*12</f>
        <v>48</v>
      </c>
      <c r="Q13" s="82">
        <f t="shared" ref="Q13:Q40" si="17">100%/G13</f>
        <v>10</v>
      </c>
      <c r="R13" s="79">
        <f t="shared" ref="R13:R40" si="18">Q13*12</f>
        <v>120</v>
      </c>
      <c r="S13" s="79">
        <f t="shared" ref="S13:S40" si="19">MONTH(C13)</f>
        <v>4</v>
      </c>
      <c r="T13" s="83">
        <f t="shared" ref="T13:T40" si="20">YEAR(C13)</f>
        <v>2014</v>
      </c>
      <c r="U13" s="84">
        <f t="shared" si="2"/>
        <v>3</v>
      </c>
      <c r="V13" s="85">
        <f t="shared" si="3"/>
        <v>2024</v>
      </c>
      <c r="W13" s="86">
        <f t="shared" ref="W13:W40" si="21">H13/P13</f>
        <v>1937500</v>
      </c>
      <c r="X13" s="81">
        <v>334051.72413793101</v>
      </c>
      <c r="Y13" s="88">
        <v>27</v>
      </c>
      <c r="Z13" s="87">
        <v>12</v>
      </c>
      <c r="AA13" s="88">
        <f t="shared" si="4"/>
        <v>4008620.6896551722</v>
      </c>
      <c r="AB13" s="88">
        <v>87989224.137931019</v>
      </c>
      <c r="AC13" s="88">
        <f t="shared" si="5"/>
        <v>5010775.8620689809</v>
      </c>
      <c r="AD13" s="88">
        <f t="shared" si="6"/>
        <v>15</v>
      </c>
      <c r="AE13" s="87">
        <v>12</v>
      </c>
      <c r="AF13" s="88">
        <f t="shared" si="7"/>
        <v>4008620.6896551722</v>
      </c>
      <c r="AG13" s="88">
        <f t="shared" si="8"/>
        <v>91997844.827586189</v>
      </c>
      <c r="AH13" s="88">
        <f t="shared" si="9"/>
        <v>1002155.1724138111</v>
      </c>
      <c r="AI13" s="88">
        <f t="shared" si="10"/>
        <v>3</v>
      </c>
      <c r="AJ13" s="87">
        <v>3</v>
      </c>
      <c r="AK13" s="88">
        <f t="shared" ref="AK13:AK40" si="22">AJ13*X13</f>
        <v>1002155.172413793</v>
      </c>
      <c r="AL13" s="88">
        <f t="shared" si="11"/>
        <v>92999999.999999985</v>
      </c>
      <c r="AM13" s="88">
        <f t="shared" ref="AM13:AM40" si="23">N13-AL13</f>
        <v>0</v>
      </c>
      <c r="AN13" s="88">
        <f t="shared" si="12"/>
        <v>0</v>
      </c>
      <c r="AO13" s="87">
        <v>0</v>
      </c>
      <c r="AP13" s="88">
        <f t="shared" ref="AP13:AP19" si="24">AO13*AC13</f>
        <v>0</v>
      </c>
      <c r="AQ13" s="88">
        <f t="shared" si="13"/>
        <v>92999999.999999985</v>
      </c>
      <c r="AR13" s="88">
        <f t="shared" ref="AR13:AR40" si="25">N13-AQ13</f>
        <v>0</v>
      </c>
      <c r="AS13" s="88">
        <f t="shared" si="14"/>
        <v>0</v>
      </c>
      <c r="AT13" s="87">
        <v>0</v>
      </c>
      <c r="AU13" s="88">
        <f t="shared" ref="AU13:AU19" si="26">AT13*AH13</f>
        <v>0</v>
      </c>
      <c r="AV13" s="88">
        <f t="shared" si="15"/>
        <v>92999999.999999985</v>
      </c>
      <c r="AW13" s="88">
        <f t="shared" ref="AW13:AW40" si="27">N13-AV13</f>
        <v>0</v>
      </c>
      <c r="AY13" s="202">
        <f t="shared" ref="AY13:AY40" si="28">SUM(AZ13:BK13)</f>
        <v>0</v>
      </c>
      <c r="AZ13" s="203">
        <f t="shared" ref="AZ13:AZ19" si="29">+X13*0</f>
        <v>0</v>
      </c>
      <c r="BA13" s="203">
        <f t="shared" ref="BA13:BA19" si="30">+X13*0</f>
        <v>0</v>
      </c>
      <c r="BB13" s="203">
        <f t="shared" ref="BB13:BB19" si="31">+X13*0</f>
        <v>0</v>
      </c>
      <c r="BC13" s="203">
        <f t="shared" ref="BC13:BC19" si="32">+X13*0</f>
        <v>0</v>
      </c>
      <c r="BD13" s="203">
        <f t="shared" ref="BD13:BD19" si="33">+X13*0</f>
        <v>0</v>
      </c>
      <c r="BE13" s="203">
        <f t="shared" ref="BE13:BE19" si="34">+X13*0</f>
        <v>0</v>
      </c>
      <c r="BF13" s="203">
        <f t="shared" ref="BF13:BF19" si="35">+X13*0</f>
        <v>0</v>
      </c>
      <c r="BG13" s="203">
        <f t="shared" ref="BG13:BG19" si="36">+X13*0</f>
        <v>0</v>
      </c>
      <c r="BH13" s="203">
        <f t="shared" ref="BH13:BH19" si="37">+X13*0</f>
        <v>0</v>
      </c>
      <c r="BI13" s="203">
        <f t="shared" ref="BI13:BI19" si="38">+X13*0</f>
        <v>0</v>
      </c>
      <c r="BJ13" s="203">
        <f t="shared" ref="BJ13:BJ19" si="39">+X13*0</f>
        <v>0</v>
      </c>
      <c r="BK13" s="203">
        <f t="shared" ref="BK13:BK19" si="40">+X13*0</f>
        <v>0</v>
      </c>
    </row>
    <row r="14" spans="2:63" x14ac:dyDescent="0.2">
      <c r="B14" s="75"/>
      <c r="C14" s="76">
        <v>41817</v>
      </c>
      <c r="D14" s="77"/>
      <c r="E14" s="78" t="s">
        <v>6</v>
      </c>
      <c r="F14" s="79"/>
      <c r="G14" s="80">
        <v>0.1</v>
      </c>
      <c r="H14" s="81">
        <v>77500000</v>
      </c>
      <c r="I14" s="81"/>
      <c r="J14" s="81"/>
      <c r="K14" s="81">
        <f t="shared" si="0"/>
        <v>77500000</v>
      </c>
      <c r="L14" s="81"/>
      <c r="M14" s="81"/>
      <c r="N14" s="81">
        <f t="shared" si="1"/>
        <v>77500000</v>
      </c>
      <c r="O14" s="185">
        <v>4</v>
      </c>
      <c r="P14" s="79">
        <f t="shared" si="16"/>
        <v>48</v>
      </c>
      <c r="Q14" s="82">
        <f t="shared" si="17"/>
        <v>10</v>
      </c>
      <c r="R14" s="79">
        <f t="shared" si="18"/>
        <v>120</v>
      </c>
      <c r="S14" s="79">
        <f t="shared" si="19"/>
        <v>6</v>
      </c>
      <c r="T14" s="83">
        <f t="shared" si="20"/>
        <v>2014</v>
      </c>
      <c r="U14" s="84">
        <f t="shared" si="2"/>
        <v>5</v>
      </c>
      <c r="V14" s="85">
        <f t="shared" si="3"/>
        <v>2024</v>
      </c>
      <c r="W14" s="86">
        <f t="shared" si="21"/>
        <v>1614583.3333333333</v>
      </c>
      <c r="X14" s="81">
        <v>308403.55805243453</v>
      </c>
      <c r="Y14" s="88">
        <v>29</v>
      </c>
      <c r="Z14" s="87">
        <v>12</v>
      </c>
      <c r="AA14" s="88">
        <f t="shared" si="4"/>
        <v>3700842.6966292141</v>
      </c>
      <c r="AB14" s="88">
        <v>72257139.513108596</v>
      </c>
      <c r="AC14" s="88">
        <f t="shared" si="5"/>
        <v>5242860.4868914038</v>
      </c>
      <c r="AD14" s="88">
        <f t="shared" si="6"/>
        <v>17</v>
      </c>
      <c r="AE14" s="87">
        <v>12</v>
      </c>
      <c r="AF14" s="88">
        <f t="shared" si="7"/>
        <v>3700842.6966292141</v>
      </c>
      <c r="AG14" s="88">
        <f t="shared" si="8"/>
        <v>75957982.209737808</v>
      </c>
      <c r="AH14" s="88">
        <f t="shared" si="9"/>
        <v>1542017.7902621925</v>
      </c>
      <c r="AI14" s="88">
        <f t="shared" si="10"/>
        <v>5</v>
      </c>
      <c r="AJ14" s="87">
        <v>5</v>
      </c>
      <c r="AK14" s="88">
        <f t="shared" si="22"/>
        <v>1542017.7902621727</v>
      </c>
      <c r="AL14" s="88">
        <f t="shared" si="11"/>
        <v>77499999.999999985</v>
      </c>
      <c r="AM14" s="88">
        <f t="shared" si="23"/>
        <v>0</v>
      </c>
      <c r="AN14" s="88">
        <f t="shared" si="12"/>
        <v>0</v>
      </c>
      <c r="AO14" s="87">
        <v>0</v>
      </c>
      <c r="AP14" s="88">
        <f t="shared" si="24"/>
        <v>0</v>
      </c>
      <c r="AQ14" s="88">
        <f t="shared" si="13"/>
        <v>77499999.999999985</v>
      </c>
      <c r="AR14" s="88">
        <f t="shared" si="25"/>
        <v>0</v>
      </c>
      <c r="AS14" s="88">
        <f t="shared" si="14"/>
        <v>0</v>
      </c>
      <c r="AT14" s="87">
        <v>0</v>
      </c>
      <c r="AU14" s="88">
        <f t="shared" si="26"/>
        <v>0</v>
      </c>
      <c r="AV14" s="88">
        <f t="shared" si="15"/>
        <v>77499999.999999985</v>
      </c>
      <c r="AW14" s="88">
        <f t="shared" si="27"/>
        <v>0</v>
      </c>
      <c r="AY14" s="202">
        <f t="shared" si="28"/>
        <v>0</v>
      </c>
      <c r="AZ14" s="203">
        <f t="shared" si="29"/>
        <v>0</v>
      </c>
      <c r="BA14" s="203">
        <f t="shared" si="30"/>
        <v>0</v>
      </c>
      <c r="BB14" s="203">
        <f t="shared" si="31"/>
        <v>0</v>
      </c>
      <c r="BC14" s="203">
        <f t="shared" si="32"/>
        <v>0</v>
      </c>
      <c r="BD14" s="203">
        <f t="shared" si="33"/>
        <v>0</v>
      </c>
      <c r="BE14" s="203">
        <f t="shared" si="34"/>
        <v>0</v>
      </c>
      <c r="BF14" s="203">
        <f t="shared" si="35"/>
        <v>0</v>
      </c>
      <c r="BG14" s="203">
        <f t="shared" si="36"/>
        <v>0</v>
      </c>
      <c r="BH14" s="203">
        <f t="shared" si="37"/>
        <v>0</v>
      </c>
      <c r="BI14" s="203">
        <f t="shared" si="38"/>
        <v>0</v>
      </c>
      <c r="BJ14" s="203">
        <f t="shared" si="39"/>
        <v>0</v>
      </c>
      <c r="BK14" s="203">
        <f t="shared" si="40"/>
        <v>0</v>
      </c>
    </row>
    <row r="15" spans="2:63" x14ac:dyDescent="0.2">
      <c r="B15" s="75"/>
      <c r="C15" s="76">
        <v>41817</v>
      </c>
      <c r="D15" s="77"/>
      <c r="E15" s="78" t="s">
        <v>6</v>
      </c>
      <c r="F15" s="79"/>
      <c r="G15" s="80">
        <v>0.1</v>
      </c>
      <c r="H15" s="81">
        <v>39000000</v>
      </c>
      <c r="I15" s="81"/>
      <c r="J15" s="81"/>
      <c r="K15" s="81">
        <f t="shared" si="0"/>
        <v>39000000</v>
      </c>
      <c r="L15" s="81"/>
      <c r="M15" s="81"/>
      <c r="N15" s="81">
        <f t="shared" si="1"/>
        <v>39000000</v>
      </c>
      <c r="O15" s="185">
        <v>4</v>
      </c>
      <c r="P15" s="79">
        <f t="shared" si="16"/>
        <v>48</v>
      </c>
      <c r="Q15" s="82">
        <f t="shared" si="17"/>
        <v>10</v>
      </c>
      <c r="R15" s="79">
        <f t="shared" si="18"/>
        <v>120</v>
      </c>
      <c r="S15" s="79">
        <f t="shared" si="19"/>
        <v>6</v>
      </c>
      <c r="T15" s="83">
        <f t="shared" si="20"/>
        <v>2014</v>
      </c>
      <c r="U15" s="84">
        <f t="shared" si="2"/>
        <v>5</v>
      </c>
      <c r="V15" s="85">
        <f t="shared" si="3"/>
        <v>2024</v>
      </c>
      <c r="W15" s="86">
        <f t="shared" si="21"/>
        <v>812500</v>
      </c>
      <c r="X15" s="81">
        <v>155196.62921348316</v>
      </c>
      <c r="Y15" s="88">
        <v>29</v>
      </c>
      <c r="Z15" s="87">
        <v>12</v>
      </c>
      <c r="AA15" s="88">
        <f t="shared" si="4"/>
        <v>1862359.5505617978</v>
      </c>
      <c r="AB15" s="88">
        <v>36361657.303370789</v>
      </c>
      <c r="AC15" s="88">
        <f t="shared" si="5"/>
        <v>2638342.6966292113</v>
      </c>
      <c r="AD15" s="88">
        <f t="shared" si="6"/>
        <v>17</v>
      </c>
      <c r="AE15" s="87">
        <v>12</v>
      </c>
      <c r="AF15" s="88">
        <f t="shared" si="7"/>
        <v>1862359.5505617978</v>
      </c>
      <c r="AG15" s="88">
        <f t="shared" si="8"/>
        <v>38224016.853932589</v>
      </c>
      <c r="AH15" s="88">
        <f t="shared" si="9"/>
        <v>775983.14606741071</v>
      </c>
      <c r="AI15" s="88">
        <f t="shared" si="10"/>
        <v>5</v>
      </c>
      <c r="AJ15" s="87">
        <v>5</v>
      </c>
      <c r="AK15" s="88">
        <f t="shared" si="22"/>
        <v>775983.14606741583</v>
      </c>
      <c r="AL15" s="88">
        <f t="shared" si="11"/>
        <v>39000000.000000007</v>
      </c>
      <c r="AM15" s="88">
        <f t="shared" si="23"/>
        <v>0</v>
      </c>
      <c r="AN15" s="88">
        <f t="shared" si="12"/>
        <v>0</v>
      </c>
      <c r="AO15" s="87">
        <v>0</v>
      </c>
      <c r="AP15" s="88">
        <f t="shared" si="24"/>
        <v>0</v>
      </c>
      <c r="AQ15" s="88">
        <f t="shared" si="13"/>
        <v>39000000.000000007</v>
      </c>
      <c r="AR15" s="88">
        <f t="shared" si="25"/>
        <v>0</v>
      </c>
      <c r="AS15" s="88">
        <f t="shared" si="14"/>
        <v>0</v>
      </c>
      <c r="AT15" s="87">
        <v>0</v>
      </c>
      <c r="AU15" s="88">
        <f t="shared" si="26"/>
        <v>0</v>
      </c>
      <c r="AV15" s="88">
        <f t="shared" si="15"/>
        <v>39000000.000000007</v>
      </c>
      <c r="AW15" s="88">
        <f t="shared" si="27"/>
        <v>0</v>
      </c>
      <c r="AY15" s="202">
        <f t="shared" si="28"/>
        <v>0</v>
      </c>
      <c r="AZ15" s="203">
        <f t="shared" si="29"/>
        <v>0</v>
      </c>
      <c r="BA15" s="203">
        <f t="shared" si="30"/>
        <v>0</v>
      </c>
      <c r="BB15" s="203">
        <f t="shared" si="31"/>
        <v>0</v>
      </c>
      <c r="BC15" s="203">
        <f t="shared" si="32"/>
        <v>0</v>
      </c>
      <c r="BD15" s="203">
        <f t="shared" si="33"/>
        <v>0</v>
      </c>
      <c r="BE15" s="203">
        <f t="shared" si="34"/>
        <v>0</v>
      </c>
      <c r="BF15" s="203">
        <f t="shared" si="35"/>
        <v>0</v>
      </c>
      <c r="BG15" s="203">
        <f t="shared" si="36"/>
        <v>0</v>
      </c>
      <c r="BH15" s="203">
        <f t="shared" si="37"/>
        <v>0</v>
      </c>
      <c r="BI15" s="203">
        <f t="shared" si="38"/>
        <v>0</v>
      </c>
      <c r="BJ15" s="203">
        <f t="shared" si="39"/>
        <v>0</v>
      </c>
      <c r="BK15" s="203">
        <f t="shared" si="40"/>
        <v>0</v>
      </c>
    </row>
    <row r="16" spans="2:63" x14ac:dyDescent="0.2">
      <c r="B16" s="75"/>
      <c r="C16" s="76">
        <v>41926</v>
      </c>
      <c r="D16" s="77"/>
      <c r="E16" s="78" t="s">
        <v>6</v>
      </c>
      <c r="F16" s="79"/>
      <c r="G16" s="80">
        <v>0.1</v>
      </c>
      <c r="H16" s="81">
        <v>40000000</v>
      </c>
      <c r="I16" s="81"/>
      <c r="J16" s="81"/>
      <c r="K16" s="81">
        <f t="shared" si="0"/>
        <v>40000000</v>
      </c>
      <c r="L16" s="81"/>
      <c r="M16" s="81"/>
      <c r="N16" s="81">
        <f t="shared" si="1"/>
        <v>40000000</v>
      </c>
      <c r="O16" s="185">
        <v>4</v>
      </c>
      <c r="P16" s="79">
        <f t="shared" si="16"/>
        <v>48</v>
      </c>
      <c r="Q16" s="82">
        <f t="shared" si="17"/>
        <v>10</v>
      </c>
      <c r="R16" s="79">
        <f t="shared" si="18"/>
        <v>120</v>
      </c>
      <c r="S16" s="79">
        <f t="shared" si="19"/>
        <v>10</v>
      </c>
      <c r="T16" s="83">
        <f t="shared" si="20"/>
        <v>2014</v>
      </c>
      <c r="U16" s="84">
        <f t="shared" si="2"/>
        <v>9</v>
      </c>
      <c r="V16" s="85">
        <f t="shared" si="3"/>
        <v>2024</v>
      </c>
      <c r="W16" s="86">
        <f t="shared" si="21"/>
        <v>833333.33333333337</v>
      </c>
      <c r="X16" s="81">
        <v>188172.04301075268</v>
      </c>
      <c r="Y16" s="88">
        <v>33</v>
      </c>
      <c r="Z16" s="87">
        <v>12</v>
      </c>
      <c r="AA16" s="88">
        <f t="shared" si="4"/>
        <v>2258064.5161290322</v>
      </c>
      <c r="AB16" s="88">
        <v>36048387.096774191</v>
      </c>
      <c r="AC16" s="88">
        <f t="shared" si="5"/>
        <v>3951612.9032258093</v>
      </c>
      <c r="AD16" s="88">
        <f t="shared" si="6"/>
        <v>21</v>
      </c>
      <c r="AE16" s="87">
        <v>12</v>
      </c>
      <c r="AF16" s="88">
        <f t="shared" si="7"/>
        <v>2258064.5161290322</v>
      </c>
      <c r="AG16" s="88">
        <f t="shared" si="8"/>
        <v>38306451.612903222</v>
      </c>
      <c r="AH16" s="88">
        <f t="shared" si="9"/>
        <v>1693548.3870967776</v>
      </c>
      <c r="AI16" s="88">
        <f t="shared" si="10"/>
        <v>9</v>
      </c>
      <c r="AJ16" s="87">
        <v>9</v>
      </c>
      <c r="AK16" s="88">
        <f t="shared" si="22"/>
        <v>1693548.3870967741</v>
      </c>
      <c r="AL16" s="88">
        <f t="shared" si="11"/>
        <v>40000000</v>
      </c>
      <c r="AM16" s="88">
        <f t="shared" si="23"/>
        <v>0</v>
      </c>
      <c r="AN16" s="88">
        <f t="shared" si="12"/>
        <v>0</v>
      </c>
      <c r="AO16" s="87">
        <v>0</v>
      </c>
      <c r="AP16" s="88">
        <f t="shared" si="24"/>
        <v>0</v>
      </c>
      <c r="AQ16" s="88">
        <f t="shared" si="13"/>
        <v>40000000</v>
      </c>
      <c r="AR16" s="88">
        <f t="shared" si="25"/>
        <v>0</v>
      </c>
      <c r="AS16" s="88">
        <f t="shared" si="14"/>
        <v>0</v>
      </c>
      <c r="AT16" s="87">
        <v>0</v>
      </c>
      <c r="AU16" s="88">
        <f t="shared" si="26"/>
        <v>0</v>
      </c>
      <c r="AV16" s="88">
        <f t="shared" si="15"/>
        <v>40000000</v>
      </c>
      <c r="AW16" s="88">
        <f t="shared" si="27"/>
        <v>0</v>
      </c>
      <c r="AY16" s="202">
        <f t="shared" si="28"/>
        <v>0</v>
      </c>
      <c r="AZ16" s="203">
        <f t="shared" si="29"/>
        <v>0</v>
      </c>
      <c r="BA16" s="203">
        <f t="shared" si="30"/>
        <v>0</v>
      </c>
      <c r="BB16" s="203">
        <f t="shared" si="31"/>
        <v>0</v>
      </c>
      <c r="BC16" s="203">
        <f t="shared" si="32"/>
        <v>0</v>
      </c>
      <c r="BD16" s="203">
        <f t="shared" si="33"/>
        <v>0</v>
      </c>
      <c r="BE16" s="203">
        <f t="shared" si="34"/>
        <v>0</v>
      </c>
      <c r="BF16" s="203">
        <f t="shared" si="35"/>
        <v>0</v>
      </c>
      <c r="BG16" s="203">
        <f t="shared" si="36"/>
        <v>0</v>
      </c>
      <c r="BH16" s="203">
        <f t="shared" si="37"/>
        <v>0</v>
      </c>
      <c r="BI16" s="203">
        <f t="shared" si="38"/>
        <v>0</v>
      </c>
      <c r="BJ16" s="203">
        <f t="shared" si="39"/>
        <v>0</v>
      </c>
      <c r="BK16" s="203">
        <f t="shared" si="40"/>
        <v>0</v>
      </c>
    </row>
    <row r="17" spans="2:63" x14ac:dyDescent="0.2">
      <c r="B17" s="75"/>
      <c r="C17" s="76">
        <v>41934</v>
      </c>
      <c r="D17" s="77"/>
      <c r="E17" s="78" t="s">
        <v>6</v>
      </c>
      <c r="F17" s="79"/>
      <c r="G17" s="80">
        <v>0.1</v>
      </c>
      <c r="H17" s="81">
        <v>21000000</v>
      </c>
      <c r="I17" s="81"/>
      <c r="J17" s="81"/>
      <c r="K17" s="81">
        <f t="shared" si="0"/>
        <v>21000000</v>
      </c>
      <c r="L17" s="81"/>
      <c r="M17" s="81"/>
      <c r="N17" s="81">
        <f t="shared" si="1"/>
        <v>21000000</v>
      </c>
      <c r="O17" s="185">
        <v>4</v>
      </c>
      <c r="P17" s="79">
        <f t="shared" si="16"/>
        <v>48</v>
      </c>
      <c r="Q17" s="82">
        <f t="shared" si="17"/>
        <v>10</v>
      </c>
      <c r="R17" s="79">
        <f t="shared" si="18"/>
        <v>120</v>
      </c>
      <c r="S17" s="79">
        <f t="shared" si="19"/>
        <v>10</v>
      </c>
      <c r="T17" s="83">
        <f t="shared" si="20"/>
        <v>2014</v>
      </c>
      <c r="U17" s="84">
        <f t="shared" si="2"/>
        <v>9</v>
      </c>
      <c r="V17" s="85">
        <f t="shared" si="3"/>
        <v>2024</v>
      </c>
      <c r="W17" s="86">
        <f t="shared" si="21"/>
        <v>437500</v>
      </c>
      <c r="X17" s="81">
        <v>98790.322580645166</v>
      </c>
      <c r="Y17" s="88">
        <v>33</v>
      </c>
      <c r="Z17" s="87">
        <v>12</v>
      </c>
      <c r="AA17" s="88">
        <f t="shared" si="4"/>
        <v>1185483.8709677421</v>
      </c>
      <c r="AB17" s="88">
        <v>18925403.225806452</v>
      </c>
      <c r="AC17" s="88">
        <f t="shared" si="5"/>
        <v>2074596.7741935477</v>
      </c>
      <c r="AD17" s="88">
        <f t="shared" si="6"/>
        <v>21</v>
      </c>
      <c r="AE17" s="87">
        <v>12</v>
      </c>
      <c r="AF17" s="88">
        <f t="shared" si="7"/>
        <v>1185483.8709677421</v>
      </c>
      <c r="AG17" s="88">
        <f t="shared" si="8"/>
        <v>20110887.096774194</v>
      </c>
      <c r="AH17" s="88">
        <f t="shared" si="9"/>
        <v>889112.90322580561</v>
      </c>
      <c r="AI17" s="88">
        <f t="shared" si="10"/>
        <v>9</v>
      </c>
      <c r="AJ17" s="87">
        <v>9</v>
      </c>
      <c r="AK17" s="88">
        <f t="shared" si="22"/>
        <v>889112.90322580654</v>
      </c>
      <c r="AL17" s="88">
        <f t="shared" si="11"/>
        <v>21000000</v>
      </c>
      <c r="AM17" s="88">
        <f t="shared" si="23"/>
        <v>0</v>
      </c>
      <c r="AN17" s="88">
        <f t="shared" si="12"/>
        <v>0</v>
      </c>
      <c r="AO17" s="87">
        <v>0</v>
      </c>
      <c r="AP17" s="88">
        <f t="shared" si="24"/>
        <v>0</v>
      </c>
      <c r="AQ17" s="88">
        <f t="shared" si="13"/>
        <v>21000000</v>
      </c>
      <c r="AR17" s="88">
        <f t="shared" si="25"/>
        <v>0</v>
      </c>
      <c r="AS17" s="88">
        <f t="shared" si="14"/>
        <v>0</v>
      </c>
      <c r="AT17" s="87">
        <v>0</v>
      </c>
      <c r="AU17" s="88">
        <f t="shared" si="26"/>
        <v>0</v>
      </c>
      <c r="AV17" s="88">
        <f t="shared" si="15"/>
        <v>21000000</v>
      </c>
      <c r="AW17" s="88">
        <f t="shared" si="27"/>
        <v>0</v>
      </c>
      <c r="AY17" s="202">
        <f t="shared" si="28"/>
        <v>0</v>
      </c>
      <c r="AZ17" s="203">
        <f t="shared" si="29"/>
        <v>0</v>
      </c>
      <c r="BA17" s="203">
        <f t="shared" si="30"/>
        <v>0</v>
      </c>
      <c r="BB17" s="203">
        <f t="shared" si="31"/>
        <v>0</v>
      </c>
      <c r="BC17" s="203">
        <f t="shared" si="32"/>
        <v>0</v>
      </c>
      <c r="BD17" s="203">
        <f t="shared" si="33"/>
        <v>0</v>
      </c>
      <c r="BE17" s="203">
        <f t="shared" si="34"/>
        <v>0</v>
      </c>
      <c r="BF17" s="203">
        <f t="shared" si="35"/>
        <v>0</v>
      </c>
      <c r="BG17" s="203">
        <f t="shared" si="36"/>
        <v>0</v>
      </c>
      <c r="BH17" s="203">
        <f t="shared" si="37"/>
        <v>0</v>
      </c>
      <c r="BI17" s="203">
        <f t="shared" si="38"/>
        <v>0</v>
      </c>
      <c r="BJ17" s="203">
        <f t="shared" si="39"/>
        <v>0</v>
      </c>
      <c r="BK17" s="203">
        <f t="shared" si="40"/>
        <v>0</v>
      </c>
    </row>
    <row r="18" spans="2:63" x14ac:dyDescent="0.2">
      <c r="B18" s="75"/>
      <c r="C18" s="76">
        <v>42010</v>
      </c>
      <c r="D18" s="77"/>
      <c r="E18" s="78" t="s">
        <v>77</v>
      </c>
      <c r="F18" s="79"/>
      <c r="G18" s="80">
        <v>0.1</v>
      </c>
      <c r="H18" s="81">
        <v>58000000</v>
      </c>
      <c r="I18" s="81"/>
      <c r="J18" s="81"/>
      <c r="K18" s="81">
        <f t="shared" si="0"/>
        <v>58000000</v>
      </c>
      <c r="L18" s="81"/>
      <c r="M18" s="81"/>
      <c r="N18" s="81">
        <f t="shared" si="1"/>
        <v>58000000</v>
      </c>
      <c r="O18" s="185">
        <v>4</v>
      </c>
      <c r="P18" s="79">
        <f t="shared" si="16"/>
        <v>48</v>
      </c>
      <c r="Q18" s="82">
        <f t="shared" si="17"/>
        <v>10</v>
      </c>
      <c r="R18" s="79">
        <f t="shared" si="18"/>
        <v>120</v>
      </c>
      <c r="S18" s="79">
        <f t="shared" si="19"/>
        <v>1</v>
      </c>
      <c r="T18" s="83">
        <f t="shared" si="20"/>
        <v>2015</v>
      </c>
      <c r="U18" s="84">
        <f t="shared" si="2"/>
        <v>12</v>
      </c>
      <c r="V18" s="85">
        <f t="shared" si="3"/>
        <v>2024</v>
      </c>
      <c r="W18" s="86">
        <f t="shared" si="21"/>
        <v>1208333.3333333333</v>
      </c>
      <c r="X18" s="81">
        <v>302083.33333333331</v>
      </c>
      <c r="Y18" s="88">
        <v>36</v>
      </c>
      <c r="Z18" s="87">
        <v>12</v>
      </c>
      <c r="AA18" s="88">
        <f t="shared" si="4"/>
        <v>3625000</v>
      </c>
      <c r="AB18" s="88">
        <v>50750000</v>
      </c>
      <c r="AC18" s="88">
        <f t="shared" si="5"/>
        <v>7250000</v>
      </c>
      <c r="AD18" s="88">
        <f t="shared" si="6"/>
        <v>24</v>
      </c>
      <c r="AE18" s="87">
        <v>12</v>
      </c>
      <c r="AF18" s="88">
        <f t="shared" si="7"/>
        <v>3625000</v>
      </c>
      <c r="AG18" s="88">
        <f t="shared" si="8"/>
        <v>54375000</v>
      </c>
      <c r="AH18" s="88">
        <f t="shared" si="9"/>
        <v>3625000</v>
      </c>
      <c r="AI18" s="88">
        <f t="shared" si="10"/>
        <v>12</v>
      </c>
      <c r="AJ18" s="87">
        <v>12</v>
      </c>
      <c r="AK18" s="88">
        <f t="shared" si="22"/>
        <v>3625000</v>
      </c>
      <c r="AL18" s="88">
        <f t="shared" si="11"/>
        <v>58000000</v>
      </c>
      <c r="AM18" s="88">
        <f t="shared" si="23"/>
        <v>0</v>
      </c>
      <c r="AN18" s="88">
        <f t="shared" si="12"/>
        <v>0</v>
      </c>
      <c r="AO18" s="87">
        <v>0</v>
      </c>
      <c r="AP18" s="88">
        <f t="shared" si="24"/>
        <v>0</v>
      </c>
      <c r="AQ18" s="88">
        <f t="shared" si="13"/>
        <v>58000000</v>
      </c>
      <c r="AR18" s="88">
        <f t="shared" si="25"/>
        <v>0</v>
      </c>
      <c r="AS18" s="88">
        <f t="shared" si="14"/>
        <v>0</v>
      </c>
      <c r="AT18" s="87">
        <v>0</v>
      </c>
      <c r="AU18" s="88">
        <f t="shared" si="26"/>
        <v>0</v>
      </c>
      <c r="AV18" s="88">
        <f t="shared" si="15"/>
        <v>58000000</v>
      </c>
      <c r="AW18" s="88">
        <f t="shared" si="27"/>
        <v>0</v>
      </c>
      <c r="AY18" s="202">
        <f t="shared" si="28"/>
        <v>0</v>
      </c>
      <c r="AZ18" s="203">
        <f t="shared" si="29"/>
        <v>0</v>
      </c>
      <c r="BA18" s="203">
        <f t="shared" si="30"/>
        <v>0</v>
      </c>
      <c r="BB18" s="203">
        <f t="shared" si="31"/>
        <v>0</v>
      </c>
      <c r="BC18" s="203">
        <f t="shared" si="32"/>
        <v>0</v>
      </c>
      <c r="BD18" s="203">
        <f t="shared" si="33"/>
        <v>0</v>
      </c>
      <c r="BE18" s="203">
        <f t="shared" si="34"/>
        <v>0</v>
      </c>
      <c r="BF18" s="203">
        <f t="shared" si="35"/>
        <v>0</v>
      </c>
      <c r="BG18" s="203">
        <f t="shared" si="36"/>
        <v>0</v>
      </c>
      <c r="BH18" s="203">
        <f t="shared" si="37"/>
        <v>0</v>
      </c>
      <c r="BI18" s="203">
        <f t="shared" si="38"/>
        <v>0</v>
      </c>
      <c r="BJ18" s="203">
        <f t="shared" si="39"/>
        <v>0</v>
      </c>
      <c r="BK18" s="203">
        <f t="shared" si="40"/>
        <v>0</v>
      </c>
    </row>
    <row r="19" spans="2:63" x14ac:dyDescent="0.2">
      <c r="B19" s="75"/>
      <c r="C19" s="76">
        <v>42033</v>
      </c>
      <c r="D19" s="77"/>
      <c r="E19" s="78" t="s">
        <v>77</v>
      </c>
      <c r="F19" s="79"/>
      <c r="G19" s="80">
        <v>0.1</v>
      </c>
      <c r="H19" s="81">
        <v>60000000</v>
      </c>
      <c r="I19" s="81"/>
      <c r="J19" s="81"/>
      <c r="K19" s="81">
        <f t="shared" si="0"/>
        <v>60000000</v>
      </c>
      <c r="L19" s="81"/>
      <c r="M19" s="81"/>
      <c r="N19" s="81">
        <f t="shared" si="1"/>
        <v>60000000</v>
      </c>
      <c r="O19" s="185">
        <v>4</v>
      </c>
      <c r="P19" s="79">
        <f t="shared" si="16"/>
        <v>48</v>
      </c>
      <c r="Q19" s="82">
        <f t="shared" si="17"/>
        <v>10</v>
      </c>
      <c r="R19" s="79">
        <f t="shared" si="18"/>
        <v>120</v>
      </c>
      <c r="S19" s="79">
        <f t="shared" si="19"/>
        <v>1</v>
      </c>
      <c r="T19" s="83">
        <f t="shared" si="20"/>
        <v>2015</v>
      </c>
      <c r="U19" s="84">
        <f t="shared" si="2"/>
        <v>12</v>
      </c>
      <c r="V19" s="85">
        <f t="shared" si="3"/>
        <v>2024</v>
      </c>
      <c r="W19" s="86">
        <f t="shared" si="21"/>
        <v>1250000</v>
      </c>
      <c r="X19" s="81">
        <v>312500</v>
      </c>
      <c r="Y19" s="88">
        <v>36</v>
      </c>
      <c r="Z19" s="87">
        <v>12</v>
      </c>
      <c r="AA19" s="88">
        <f t="shared" si="4"/>
        <v>3750000</v>
      </c>
      <c r="AB19" s="88">
        <v>52500000</v>
      </c>
      <c r="AC19" s="88">
        <f t="shared" si="5"/>
        <v>7500000</v>
      </c>
      <c r="AD19" s="88">
        <f t="shared" si="6"/>
        <v>24</v>
      </c>
      <c r="AE19" s="87">
        <v>12</v>
      </c>
      <c r="AF19" s="88">
        <f t="shared" si="7"/>
        <v>3750000</v>
      </c>
      <c r="AG19" s="88">
        <f t="shared" si="8"/>
        <v>56250000</v>
      </c>
      <c r="AH19" s="88">
        <f t="shared" si="9"/>
        <v>3750000</v>
      </c>
      <c r="AI19" s="88">
        <f t="shared" si="10"/>
        <v>12</v>
      </c>
      <c r="AJ19" s="87">
        <v>12</v>
      </c>
      <c r="AK19" s="88">
        <f t="shared" si="22"/>
        <v>3750000</v>
      </c>
      <c r="AL19" s="88">
        <f t="shared" si="11"/>
        <v>60000000</v>
      </c>
      <c r="AM19" s="88">
        <f t="shared" si="23"/>
        <v>0</v>
      </c>
      <c r="AN19" s="88">
        <f t="shared" si="12"/>
        <v>0</v>
      </c>
      <c r="AO19" s="87">
        <v>0</v>
      </c>
      <c r="AP19" s="88">
        <f t="shared" si="24"/>
        <v>0</v>
      </c>
      <c r="AQ19" s="88">
        <f t="shared" si="13"/>
        <v>60000000</v>
      </c>
      <c r="AR19" s="88">
        <f t="shared" si="25"/>
        <v>0</v>
      </c>
      <c r="AS19" s="88">
        <f t="shared" si="14"/>
        <v>0</v>
      </c>
      <c r="AT19" s="87">
        <v>0</v>
      </c>
      <c r="AU19" s="88">
        <f t="shared" si="26"/>
        <v>0</v>
      </c>
      <c r="AV19" s="88">
        <f t="shared" si="15"/>
        <v>60000000</v>
      </c>
      <c r="AW19" s="88">
        <f t="shared" si="27"/>
        <v>0</v>
      </c>
      <c r="AY19" s="202">
        <f t="shared" si="28"/>
        <v>0</v>
      </c>
      <c r="AZ19" s="203">
        <f t="shared" si="29"/>
        <v>0</v>
      </c>
      <c r="BA19" s="203">
        <f t="shared" si="30"/>
        <v>0</v>
      </c>
      <c r="BB19" s="203">
        <f t="shared" si="31"/>
        <v>0</v>
      </c>
      <c r="BC19" s="203">
        <f t="shared" si="32"/>
        <v>0</v>
      </c>
      <c r="BD19" s="203">
        <f t="shared" si="33"/>
        <v>0</v>
      </c>
      <c r="BE19" s="203">
        <f t="shared" si="34"/>
        <v>0</v>
      </c>
      <c r="BF19" s="203">
        <f t="shared" si="35"/>
        <v>0</v>
      </c>
      <c r="BG19" s="203">
        <f t="shared" si="36"/>
        <v>0</v>
      </c>
      <c r="BH19" s="203">
        <f t="shared" si="37"/>
        <v>0</v>
      </c>
      <c r="BI19" s="203">
        <f t="shared" si="38"/>
        <v>0</v>
      </c>
      <c r="BJ19" s="203">
        <f t="shared" si="39"/>
        <v>0</v>
      </c>
      <c r="BK19" s="203">
        <f t="shared" si="40"/>
        <v>0</v>
      </c>
    </row>
    <row r="20" spans="2:63" x14ac:dyDescent="0.2">
      <c r="B20" s="75"/>
      <c r="C20" s="76">
        <v>42102</v>
      </c>
      <c r="D20" s="77"/>
      <c r="E20" s="78" t="s">
        <v>78</v>
      </c>
      <c r="F20" s="79"/>
      <c r="G20" s="80">
        <v>0.1</v>
      </c>
      <c r="H20" s="81">
        <v>9500000</v>
      </c>
      <c r="I20" s="81"/>
      <c r="J20" s="81"/>
      <c r="K20" s="81">
        <f t="shared" si="0"/>
        <v>9500000</v>
      </c>
      <c r="L20" s="81"/>
      <c r="M20" s="81"/>
      <c r="N20" s="81">
        <f t="shared" si="1"/>
        <v>9500000</v>
      </c>
      <c r="O20" s="185">
        <v>4</v>
      </c>
      <c r="P20" s="79">
        <f t="shared" si="16"/>
        <v>48</v>
      </c>
      <c r="Q20" s="82">
        <f t="shared" si="17"/>
        <v>10</v>
      </c>
      <c r="R20" s="79">
        <f t="shared" si="18"/>
        <v>120</v>
      </c>
      <c r="S20" s="79">
        <f t="shared" si="19"/>
        <v>4</v>
      </c>
      <c r="T20" s="83">
        <f t="shared" si="20"/>
        <v>2015</v>
      </c>
      <c r="U20" s="84">
        <f t="shared" si="2"/>
        <v>3</v>
      </c>
      <c r="V20" s="85">
        <f t="shared" si="3"/>
        <v>2025</v>
      </c>
      <c r="W20" s="86">
        <f t="shared" si="21"/>
        <v>197916.66666666666</v>
      </c>
      <c r="X20" s="81">
        <v>53977.272727272728</v>
      </c>
      <c r="Y20" s="88">
        <v>39</v>
      </c>
      <c r="Z20" s="87">
        <v>12</v>
      </c>
      <c r="AA20" s="88">
        <f t="shared" si="4"/>
        <v>647727.27272727271</v>
      </c>
      <c r="AB20" s="88">
        <v>8042613.6363636348</v>
      </c>
      <c r="AC20" s="88">
        <f t="shared" si="5"/>
        <v>1457386.3636363652</v>
      </c>
      <c r="AD20" s="88">
        <f t="shared" si="6"/>
        <v>27</v>
      </c>
      <c r="AE20" s="87">
        <v>12</v>
      </c>
      <c r="AF20" s="88">
        <f t="shared" si="7"/>
        <v>647727.27272727271</v>
      </c>
      <c r="AG20" s="88">
        <f t="shared" si="8"/>
        <v>8690340.9090909082</v>
      </c>
      <c r="AH20" s="88">
        <f t="shared" si="9"/>
        <v>809659.09090909176</v>
      </c>
      <c r="AI20" s="88">
        <f t="shared" si="10"/>
        <v>15</v>
      </c>
      <c r="AJ20" s="87">
        <v>12</v>
      </c>
      <c r="AK20" s="88">
        <f t="shared" si="22"/>
        <v>647727.27272727271</v>
      </c>
      <c r="AL20" s="88">
        <f t="shared" si="11"/>
        <v>9338068.1818181816</v>
      </c>
      <c r="AM20" s="88">
        <f t="shared" si="23"/>
        <v>161931.81818181835</v>
      </c>
      <c r="AN20" s="88">
        <f t="shared" si="12"/>
        <v>3</v>
      </c>
      <c r="AO20" s="87">
        <v>3</v>
      </c>
      <c r="AP20" s="88">
        <f>AO20*X20</f>
        <v>161931.81818181818</v>
      </c>
      <c r="AQ20" s="88">
        <f t="shared" si="13"/>
        <v>9500000</v>
      </c>
      <c r="AR20" s="88">
        <f t="shared" si="25"/>
        <v>0</v>
      </c>
      <c r="AS20" s="88">
        <f t="shared" si="14"/>
        <v>0</v>
      </c>
      <c r="AT20" s="87">
        <v>0</v>
      </c>
      <c r="AU20" s="88">
        <f>AT20*AC20</f>
        <v>0</v>
      </c>
      <c r="AV20" s="88">
        <f t="shared" si="15"/>
        <v>9500000</v>
      </c>
      <c r="AW20" s="88">
        <f t="shared" si="27"/>
        <v>0</v>
      </c>
      <c r="AY20" s="202">
        <f t="shared" si="28"/>
        <v>0</v>
      </c>
      <c r="AZ20" s="203">
        <f t="shared" ref="AZ20:AZ26" si="41">+X20*0</f>
        <v>0</v>
      </c>
      <c r="BA20" s="203">
        <f t="shared" ref="BA20:BA26" si="42">+X20*0</f>
        <v>0</v>
      </c>
      <c r="BB20" s="203">
        <f t="shared" ref="BB20:BB26" si="43">+X20*0</f>
        <v>0</v>
      </c>
      <c r="BC20" s="203">
        <f t="shared" ref="BC20:BC26" si="44">+X20*0</f>
        <v>0</v>
      </c>
      <c r="BD20" s="203">
        <f t="shared" ref="BD20:BD26" si="45">+X20*0</f>
        <v>0</v>
      </c>
      <c r="BE20" s="203">
        <f t="shared" ref="BE20:BE26" si="46">+X20*0</f>
        <v>0</v>
      </c>
      <c r="BF20" s="203">
        <f t="shared" ref="BF20:BF26" si="47">+X20*0</f>
        <v>0</v>
      </c>
      <c r="BG20" s="203">
        <f t="shared" ref="BG20:BG26" si="48">+X20*0</f>
        <v>0</v>
      </c>
      <c r="BH20" s="203">
        <f t="shared" ref="BH20:BH26" si="49">+X20*0</f>
        <v>0</v>
      </c>
      <c r="BI20" s="203">
        <f t="shared" ref="BI20:BI26" si="50">+X20*0</f>
        <v>0</v>
      </c>
      <c r="BJ20" s="203">
        <f t="shared" ref="BJ20:BJ26" si="51">+X20*0</f>
        <v>0</v>
      </c>
      <c r="BK20" s="203">
        <f t="shared" ref="BK20:BK26" si="52">+X20*0</f>
        <v>0</v>
      </c>
    </row>
    <row r="21" spans="2:63" x14ac:dyDescent="0.2">
      <c r="B21" s="75"/>
      <c r="C21" s="76">
        <v>42107</v>
      </c>
      <c r="D21" s="77"/>
      <c r="E21" s="78" t="s">
        <v>79</v>
      </c>
      <c r="F21" s="79"/>
      <c r="G21" s="80">
        <v>0.1</v>
      </c>
      <c r="H21" s="81">
        <v>37000000</v>
      </c>
      <c r="I21" s="81"/>
      <c r="J21" s="81"/>
      <c r="K21" s="81">
        <f t="shared" si="0"/>
        <v>37000000</v>
      </c>
      <c r="L21" s="81"/>
      <c r="M21" s="81"/>
      <c r="N21" s="81">
        <f t="shared" si="1"/>
        <v>37000000</v>
      </c>
      <c r="O21" s="185">
        <v>4</v>
      </c>
      <c r="P21" s="79">
        <f t="shared" si="16"/>
        <v>48</v>
      </c>
      <c r="Q21" s="82">
        <f t="shared" si="17"/>
        <v>10</v>
      </c>
      <c r="R21" s="79">
        <f t="shared" si="18"/>
        <v>120</v>
      </c>
      <c r="S21" s="79">
        <f t="shared" si="19"/>
        <v>4</v>
      </c>
      <c r="T21" s="83">
        <f t="shared" si="20"/>
        <v>2015</v>
      </c>
      <c r="U21" s="84">
        <f t="shared" si="2"/>
        <v>3</v>
      </c>
      <c r="V21" s="85">
        <f t="shared" si="3"/>
        <v>2025</v>
      </c>
      <c r="W21" s="86">
        <f t="shared" si="21"/>
        <v>770833.33333333337</v>
      </c>
      <c r="X21" s="81">
        <v>210227.27272727274</v>
      </c>
      <c r="Y21" s="88">
        <v>39</v>
      </c>
      <c r="Z21" s="87">
        <v>12</v>
      </c>
      <c r="AA21" s="88">
        <f t="shared" si="4"/>
        <v>2522727.2727272729</v>
      </c>
      <c r="AB21" s="88">
        <v>31323863.63636364</v>
      </c>
      <c r="AC21" s="88">
        <f t="shared" si="5"/>
        <v>5676136.3636363596</v>
      </c>
      <c r="AD21" s="88">
        <f t="shared" si="6"/>
        <v>27</v>
      </c>
      <c r="AE21" s="87">
        <v>12</v>
      </c>
      <c r="AF21" s="88">
        <f t="shared" si="7"/>
        <v>2522727.2727272729</v>
      </c>
      <c r="AG21" s="88">
        <f t="shared" si="8"/>
        <v>33846590.909090914</v>
      </c>
      <c r="AH21" s="88">
        <f t="shared" si="9"/>
        <v>3153409.0909090862</v>
      </c>
      <c r="AI21" s="88">
        <f t="shared" si="10"/>
        <v>15</v>
      </c>
      <c r="AJ21" s="87">
        <v>12</v>
      </c>
      <c r="AK21" s="88">
        <f t="shared" si="22"/>
        <v>2522727.2727272729</v>
      </c>
      <c r="AL21" s="88">
        <f t="shared" si="11"/>
        <v>36369318.181818187</v>
      </c>
      <c r="AM21" s="88">
        <f t="shared" si="23"/>
        <v>630681.81818181276</v>
      </c>
      <c r="AN21" s="88">
        <f t="shared" si="12"/>
        <v>3</v>
      </c>
      <c r="AO21" s="87">
        <v>3</v>
      </c>
      <c r="AP21" s="88">
        <f t="shared" ref="AP21:AP40" si="53">AO21*X21</f>
        <v>630681.81818181823</v>
      </c>
      <c r="AQ21" s="88">
        <f t="shared" si="13"/>
        <v>37000000.000000007</v>
      </c>
      <c r="AR21" s="88">
        <f t="shared" si="25"/>
        <v>0</v>
      </c>
      <c r="AS21" s="88">
        <f t="shared" si="14"/>
        <v>0</v>
      </c>
      <c r="AT21" s="87">
        <v>0</v>
      </c>
      <c r="AU21" s="88">
        <f t="shared" ref="AU21:AU26" si="54">AT21*AC21</f>
        <v>0</v>
      </c>
      <c r="AV21" s="88">
        <f t="shared" si="15"/>
        <v>37000000.000000007</v>
      </c>
      <c r="AW21" s="88">
        <f t="shared" si="27"/>
        <v>0</v>
      </c>
      <c r="AY21" s="202">
        <f t="shared" si="28"/>
        <v>0</v>
      </c>
      <c r="AZ21" s="203">
        <f t="shared" si="41"/>
        <v>0</v>
      </c>
      <c r="BA21" s="203">
        <f t="shared" si="42"/>
        <v>0</v>
      </c>
      <c r="BB21" s="203">
        <f t="shared" si="43"/>
        <v>0</v>
      </c>
      <c r="BC21" s="203">
        <f t="shared" si="44"/>
        <v>0</v>
      </c>
      <c r="BD21" s="203">
        <f t="shared" si="45"/>
        <v>0</v>
      </c>
      <c r="BE21" s="203">
        <f t="shared" si="46"/>
        <v>0</v>
      </c>
      <c r="BF21" s="203">
        <f t="shared" si="47"/>
        <v>0</v>
      </c>
      <c r="BG21" s="203">
        <f t="shared" si="48"/>
        <v>0</v>
      </c>
      <c r="BH21" s="203">
        <f t="shared" si="49"/>
        <v>0</v>
      </c>
      <c r="BI21" s="203">
        <f t="shared" si="50"/>
        <v>0</v>
      </c>
      <c r="BJ21" s="203">
        <f t="shared" si="51"/>
        <v>0</v>
      </c>
      <c r="BK21" s="203">
        <f t="shared" si="52"/>
        <v>0</v>
      </c>
    </row>
    <row r="22" spans="2:63" x14ac:dyDescent="0.2">
      <c r="B22" s="75"/>
      <c r="C22" s="76">
        <v>42116</v>
      </c>
      <c r="D22" s="77"/>
      <c r="E22" s="78" t="s">
        <v>79</v>
      </c>
      <c r="F22" s="79"/>
      <c r="G22" s="80">
        <v>0.1</v>
      </c>
      <c r="H22" s="81">
        <v>68000000</v>
      </c>
      <c r="I22" s="81"/>
      <c r="J22" s="81"/>
      <c r="K22" s="81">
        <f t="shared" si="0"/>
        <v>68000000</v>
      </c>
      <c r="L22" s="81"/>
      <c r="M22" s="81"/>
      <c r="N22" s="81">
        <f t="shared" si="1"/>
        <v>68000000</v>
      </c>
      <c r="O22" s="185">
        <v>4</v>
      </c>
      <c r="P22" s="79">
        <f t="shared" si="16"/>
        <v>48</v>
      </c>
      <c r="Q22" s="82">
        <f t="shared" si="17"/>
        <v>10</v>
      </c>
      <c r="R22" s="79">
        <f t="shared" si="18"/>
        <v>120</v>
      </c>
      <c r="S22" s="79">
        <f t="shared" si="19"/>
        <v>4</v>
      </c>
      <c r="T22" s="83">
        <f t="shared" si="20"/>
        <v>2015</v>
      </c>
      <c r="U22" s="84">
        <f t="shared" si="2"/>
        <v>3</v>
      </c>
      <c r="V22" s="85">
        <f t="shared" si="3"/>
        <v>2025</v>
      </c>
      <c r="W22" s="86">
        <f t="shared" si="21"/>
        <v>1416666.6666666667</v>
      </c>
      <c r="X22" s="81">
        <v>386363.63636363635</v>
      </c>
      <c r="Y22" s="88">
        <v>39</v>
      </c>
      <c r="Z22" s="87">
        <v>12</v>
      </c>
      <c r="AA22" s="88">
        <f t="shared" si="4"/>
        <v>4636363.6363636367</v>
      </c>
      <c r="AB22" s="88">
        <v>57568181.818181843</v>
      </c>
      <c r="AC22" s="88">
        <f t="shared" si="5"/>
        <v>10431818.181818157</v>
      </c>
      <c r="AD22" s="88">
        <f t="shared" si="6"/>
        <v>27</v>
      </c>
      <c r="AE22" s="87">
        <v>12</v>
      </c>
      <c r="AF22" s="88">
        <f t="shared" si="7"/>
        <v>4636363.6363636367</v>
      </c>
      <c r="AG22" s="88">
        <f t="shared" si="8"/>
        <v>62204545.454545483</v>
      </c>
      <c r="AH22" s="88">
        <f t="shared" si="9"/>
        <v>5795454.545454517</v>
      </c>
      <c r="AI22" s="88">
        <f t="shared" si="10"/>
        <v>15</v>
      </c>
      <c r="AJ22" s="87">
        <v>12</v>
      </c>
      <c r="AK22" s="88">
        <f t="shared" si="22"/>
        <v>4636363.6363636367</v>
      </c>
      <c r="AL22" s="88">
        <f t="shared" si="11"/>
        <v>66840909.090909123</v>
      </c>
      <c r="AM22" s="88">
        <f t="shared" si="23"/>
        <v>1159090.9090908766</v>
      </c>
      <c r="AN22" s="88">
        <f t="shared" si="12"/>
        <v>3</v>
      </c>
      <c r="AO22" s="87">
        <v>3</v>
      </c>
      <c r="AP22" s="88">
        <f t="shared" si="53"/>
        <v>1159090.9090909092</v>
      </c>
      <c r="AQ22" s="88">
        <f t="shared" si="13"/>
        <v>68000000.00000003</v>
      </c>
      <c r="AR22" s="88">
        <f t="shared" si="25"/>
        <v>0</v>
      </c>
      <c r="AS22" s="88">
        <f t="shared" si="14"/>
        <v>0</v>
      </c>
      <c r="AT22" s="87">
        <v>0</v>
      </c>
      <c r="AU22" s="88">
        <f t="shared" si="54"/>
        <v>0</v>
      </c>
      <c r="AV22" s="88">
        <f t="shared" si="15"/>
        <v>68000000.00000003</v>
      </c>
      <c r="AW22" s="88">
        <f t="shared" si="27"/>
        <v>0</v>
      </c>
      <c r="AY22" s="202">
        <f t="shared" si="28"/>
        <v>0</v>
      </c>
      <c r="AZ22" s="203">
        <f t="shared" si="41"/>
        <v>0</v>
      </c>
      <c r="BA22" s="203">
        <f t="shared" si="42"/>
        <v>0</v>
      </c>
      <c r="BB22" s="203">
        <f t="shared" si="43"/>
        <v>0</v>
      </c>
      <c r="BC22" s="203">
        <f t="shared" si="44"/>
        <v>0</v>
      </c>
      <c r="BD22" s="203">
        <f t="shared" si="45"/>
        <v>0</v>
      </c>
      <c r="BE22" s="203">
        <f t="shared" si="46"/>
        <v>0</v>
      </c>
      <c r="BF22" s="203">
        <f t="shared" si="47"/>
        <v>0</v>
      </c>
      <c r="BG22" s="203">
        <f t="shared" si="48"/>
        <v>0</v>
      </c>
      <c r="BH22" s="203">
        <f t="shared" si="49"/>
        <v>0</v>
      </c>
      <c r="BI22" s="203">
        <f t="shared" si="50"/>
        <v>0</v>
      </c>
      <c r="BJ22" s="203">
        <f t="shared" si="51"/>
        <v>0</v>
      </c>
      <c r="BK22" s="203">
        <f t="shared" si="52"/>
        <v>0</v>
      </c>
    </row>
    <row r="23" spans="2:63" x14ac:dyDescent="0.2">
      <c r="B23" s="75"/>
      <c r="C23" s="76">
        <v>42137</v>
      </c>
      <c r="D23" s="77"/>
      <c r="E23" s="78" t="s">
        <v>79</v>
      </c>
      <c r="F23" s="79"/>
      <c r="G23" s="80">
        <v>0.1</v>
      </c>
      <c r="H23" s="81">
        <v>35000000</v>
      </c>
      <c r="I23" s="81"/>
      <c r="J23" s="81"/>
      <c r="K23" s="81">
        <f t="shared" si="0"/>
        <v>35000000</v>
      </c>
      <c r="L23" s="81"/>
      <c r="M23" s="81"/>
      <c r="N23" s="81">
        <f t="shared" si="1"/>
        <v>35000000</v>
      </c>
      <c r="O23" s="185">
        <v>4</v>
      </c>
      <c r="P23" s="79">
        <f t="shared" si="16"/>
        <v>48</v>
      </c>
      <c r="Q23" s="82">
        <f t="shared" si="17"/>
        <v>10</v>
      </c>
      <c r="R23" s="79">
        <f t="shared" si="18"/>
        <v>120</v>
      </c>
      <c r="S23" s="79">
        <f t="shared" si="19"/>
        <v>5</v>
      </c>
      <c r="T23" s="83">
        <f t="shared" si="20"/>
        <v>2015</v>
      </c>
      <c r="U23" s="84">
        <f t="shared" si="2"/>
        <v>4</v>
      </c>
      <c r="V23" s="85">
        <f t="shared" si="3"/>
        <v>2025</v>
      </c>
      <c r="W23" s="86">
        <f t="shared" si="21"/>
        <v>729166.66666666663</v>
      </c>
      <c r="X23" s="81">
        <v>204166.66666666669</v>
      </c>
      <c r="Y23" s="88">
        <v>40</v>
      </c>
      <c r="Z23" s="87">
        <v>12</v>
      </c>
      <c r="AA23" s="88">
        <f t="shared" si="4"/>
        <v>2450000</v>
      </c>
      <c r="AB23" s="88">
        <v>29283333.333333332</v>
      </c>
      <c r="AC23" s="88">
        <f t="shared" si="5"/>
        <v>5716666.6666666679</v>
      </c>
      <c r="AD23" s="88">
        <f t="shared" si="6"/>
        <v>28</v>
      </c>
      <c r="AE23" s="87">
        <v>12</v>
      </c>
      <c r="AF23" s="88">
        <f t="shared" si="7"/>
        <v>2450000</v>
      </c>
      <c r="AG23" s="88">
        <f t="shared" si="8"/>
        <v>31733333.333333332</v>
      </c>
      <c r="AH23" s="88">
        <f t="shared" si="9"/>
        <v>3266666.6666666679</v>
      </c>
      <c r="AI23" s="88">
        <f t="shared" si="10"/>
        <v>16</v>
      </c>
      <c r="AJ23" s="87">
        <v>12</v>
      </c>
      <c r="AK23" s="88">
        <f t="shared" si="22"/>
        <v>2450000</v>
      </c>
      <c r="AL23" s="88">
        <f t="shared" si="11"/>
        <v>34183333.333333328</v>
      </c>
      <c r="AM23" s="88">
        <f t="shared" si="23"/>
        <v>816666.66666667163</v>
      </c>
      <c r="AN23" s="88">
        <f t="shared" si="12"/>
        <v>4</v>
      </c>
      <c r="AO23" s="87">
        <v>4</v>
      </c>
      <c r="AP23" s="88">
        <f t="shared" si="53"/>
        <v>816666.66666666674</v>
      </c>
      <c r="AQ23" s="88">
        <f t="shared" si="13"/>
        <v>34999999.999999993</v>
      </c>
      <c r="AR23" s="88">
        <f t="shared" si="25"/>
        <v>0</v>
      </c>
      <c r="AS23" s="88">
        <f t="shared" si="14"/>
        <v>0</v>
      </c>
      <c r="AT23" s="87">
        <v>0</v>
      </c>
      <c r="AU23" s="88">
        <f t="shared" si="54"/>
        <v>0</v>
      </c>
      <c r="AV23" s="88">
        <f t="shared" si="15"/>
        <v>34999999.999999993</v>
      </c>
      <c r="AW23" s="88">
        <f t="shared" si="27"/>
        <v>0</v>
      </c>
      <c r="AY23" s="202">
        <f t="shared" si="28"/>
        <v>0</v>
      </c>
      <c r="AZ23" s="203">
        <f t="shared" si="41"/>
        <v>0</v>
      </c>
      <c r="BA23" s="203">
        <f t="shared" si="42"/>
        <v>0</v>
      </c>
      <c r="BB23" s="203">
        <f t="shared" si="43"/>
        <v>0</v>
      </c>
      <c r="BC23" s="203">
        <f t="shared" si="44"/>
        <v>0</v>
      </c>
      <c r="BD23" s="203">
        <f t="shared" si="45"/>
        <v>0</v>
      </c>
      <c r="BE23" s="203">
        <f t="shared" si="46"/>
        <v>0</v>
      </c>
      <c r="BF23" s="203">
        <f t="shared" si="47"/>
        <v>0</v>
      </c>
      <c r="BG23" s="203">
        <f t="shared" si="48"/>
        <v>0</v>
      </c>
      <c r="BH23" s="203">
        <f t="shared" si="49"/>
        <v>0</v>
      </c>
      <c r="BI23" s="203">
        <f t="shared" si="50"/>
        <v>0</v>
      </c>
      <c r="BJ23" s="203">
        <f t="shared" si="51"/>
        <v>0</v>
      </c>
      <c r="BK23" s="203">
        <f t="shared" si="52"/>
        <v>0</v>
      </c>
    </row>
    <row r="24" spans="2:63" x14ac:dyDescent="0.2">
      <c r="B24" s="75"/>
      <c r="C24" s="76">
        <v>42247</v>
      </c>
      <c r="D24" s="77"/>
      <c r="E24" s="78" t="s">
        <v>79</v>
      </c>
      <c r="F24" s="79"/>
      <c r="G24" s="80">
        <v>0.1</v>
      </c>
      <c r="H24" s="81">
        <v>39250000</v>
      </c>
      <c r="I24" s="81"/>
      <c r="J24" s="81"/>
      <c r="K24" s="81">
        <f t="shared" si="0"/>
        <v>39250000</v>
      </c>
      <c r="L24" s="81"/>
      <c r="M24" s="81"/>
      <c r="N24" s="81">
        <f t="shared" si="1"/>
        <v>39250000</v>
      </c>
      <c r="O24" s="185">
        <v>4</v>
      </c>
      <c r="P24" s="79">
        <f t="shared" si="16"/>
        <v>48</v>
      </c>
      <c r="Q24" s="82">
        <f t="shared" si="17"/>
        <v>10</v>
      </c>
      <c r="R24" s="79">
        <f t="shared" si="18"/>
        <v>120</v>
      </c>
      <c r="S24" s="79">
        <f t="shared" si="19"/>
        <v>8</v>
      </c>
      <c r="T24" s="83">
        <f t="shared" si="20"/>
        <v>2015</v>
      </c>
      <c r="U24" s="84">
        <f t="shared" si="2"/>
        <v>7</v>
      </c>
      <c r="V24" s="85">
        <f t="shared" si="3"/>
        <v>2025</v>
      </c>
      <c r="W24" s="86">
        <f t="shared" si="21"/>
        <v>817708.33333333337</v>
      </c>
      <c r="X24" s="81">
        <v>246106.39158576052</v>
      </c>
      <c r="Y24" s="88">
        <v>43</v>
      </c>
      <c r="Z24" s="87">
        <v>12</v>
      </c>
      <c r="AA24" s="88">
        <f t="shared" si="4"/>
        <v>2953276.6990291262</v>
      </c>
      <c r="AB24" s="88">
        <v>31620701.86084142</v>
      </c>
      <c r="AC24" s="88">
        <f t="shared" si="5"/>
        <v>7629298.1391585805</v>
      </c>
      <c r="AD24" s="88">
        <f t="shared" si="6"/>
        <v>31</v>
      </c>
      <c r="AE24" s="87">
        <v>12</v>
      </c>
      <c r="AF24" s="88">
        <f t="shared" si="7"/>
        <v>2953276.6990291262</v>
      </c>
      <c r="AG24" s="88">
        <f t="shared" si="8"/>
        <v>34573978.559870549</v>
      </c>
      <c r="AH24" s="88">
        <f t="shared" si="9"/>
        <v>4676021.4401294515</v>
      </c>
      <c r="AI24" s="88">
        <f t="shared" si="10"/>
        <v>19</v>
      </c>
      <c r="AJ24" s="87">
        <v>12</v>
      </c>
      <c r="AK24" s="88">
        <f t="shared" si="22"/>
        <v>2953276.6990291262</v>
      </c>
      <c r="AL24" s="88">
        <f t="shared" si="11"/>
        <v>37527255.258899674</v>
      </c>
      <c r="AM24" s="88">
        <f t="shared" si="23"/>
        <v>1722744.7411003262</v>
      </c>
      <c r="AN24" s="88">
        <f t="shared" si="12"/>
        <v>7</v>
      </c>
      <c r="AO24" s="87">
        <v>7</v>
      </c>
      <c r="AP24" s="88">
        <f t="shared" si="53"/>
        <v>1722744.7411003236</v>
      </c>
      <c r="AQ24" s="88">
        <f t="shared" si="13"/>
        <v>39250000</v>
      </c>
      <c r="AR24" s="88">
        <f t="shared" si="25"/>
        <v>0</v>
      </c>
      <c r="AS24" s="88">
        <f t="shared" si="14"/>
        <v>0</v>
      </c>
      <c r="AT24" s="87">
        <v>0</v>
      </c>
      <c r="AU24" s="88">
        <f t="shared" si="54"/>
        <v>0</v>
      </c>
      <c r="AV24" s="88">
        <f t="shared" si="15"/>
        <v>39250000</v>
      </c>
      <c r="AW24" s="88">
        <f t="shared" si="27"/>
        <v>0</v>
      </c>
      <c r="AY24" s="202">
        <f t="shared" si="28"/>
        <v>0</v>
      </c>
      <c r="AZ24" s="203">
        <f t="shared" si="41"/>
        <v>0</v>
      </c>
      <c r="BA24" s="203">
        <f t="shared" si="42"/>
        <v>0</v>
      </c>
      <c r="BB24" s="203">
        <f t="shared" si="43"/>
        <v>0</v>
      </c>
      <c r="BC24" s="203">
        <f t="shared" si="44"/>
        <v>0</v>
      </c>
      <c r="BD24" s="203">
        <f t="shared" si="45"/>
        <v>0</v>
      </c>
      <c r="BE24" s="203">
        <f t="shared" si="46"/>
        <v>0</v>
      </c>
      <c r="BF24" s="203">
        <f t="shared" si="47"/>
        <v>0</v>
      </c>
      <c r="BG24" s="203">
        <f t="shared" si="48"/>
        <v>0</v>
      </c>
      <c r="BH24" s="203">
        <f t="shared" si="49"/>
        <v>0</v>
      </c>
      <c r="BI24" s="203">
        <f t="shared" si="50"/>
        <v>0</v>
      </c>
      <c r="BJ24" s="203">
        <f t="shared" si="51"/>
        <v>0</v>
      </c>
      <c r="BK24" s="203">
        <f t="shared" si="52"/>
        <v>0</v>
      </c>
    </row>
    <row r="25" spans="2:63" x14ac:dyDescent="0.2">
      <c r="B25" s="75"/>
      <c r="C25" s="76">
        <v>42325</v>
      </c>
      <c r="D25" s="77"/>
      <c r="E25" s="78" t="s">
        <v>79</v>
      </c>
      <c r="F25" s="79"/>
      <c r="G25" s="80">
        <v>0.1</v>
      </c>
      <c r="H25" s="81">
        <v>3600000</v>
      </c>
      <c r="I25" s="81"/>
      <c r="J25" s="81"/>
      <c r="K25" s="81">
        <f t="shared" si="0"/>
        <v>3600000</v>
      </c>
      <c r="L25" s="81"/>
      <c r="M25" s="81"/>
      <c r="N25" s="81">
        <f t="shared" si="1"/>
        <v>3600000</v>
      </c>
      <c r="O25" s="185">
        <v>4</v>
      </c>
      <c r="P25" s="79">
        <f t="shared" si="16"/>
        <v>48</v>
      </c>
      <c r="Q25" s="82">
        <f t="shared" si="17"/>
        <v>10</v>
      </c>
      <c r="R25" s="79">
        <f t="shared" si="18"/>
        <v>120</v>
      </c>
      <c r="S25" s="79">
        <f t="shared" si="19"/>
        <v>11</v>
      </c>
      <c r="T25" s="83">
        <f t="shared" si="20"/>
        <v>2015</v>
      </c>
      <c r="U25" s="84">
        <f t="shared" si="2"/>
        <v>10</v>
      </c>
      <c r="V25" s="85">
        <f t="shared" si="3"/>
        <v>2025</v>
      </c>
      <c r="W25" s="86">
        <f t="shared" si="21"/>
        <v>75000</v>
      </c>
      <c r="X25" s="81">
        <v>24056.603773584906</v>
      </c>
      <c r="Y25" s="88">
        <v>46</v>
      </c>
      <c r="Z25" s="87">
        <v>12</v>
      </c>
      <c r="AA25" s="88">
        <f t="shared" si="4"/>
        <v>288679.24528301886</v>
      </c>
      <c r="AB25" s="88">
        <v>2782075.4716981128</v>
      </c>
      <c r="AC25" s="88">
        <f t="shared" si="5"/>
        <v>817924.52830188721</v>
      </c>
      <c r="AD25" s="88">
        <f t="shared" si="6"/>
        <v>34</v>
      </c>
      <c r="AE25" s="87">
        <v>12</v>
      </c>
      <c r="AF25" s="88">
        <f t="shared" si="7"/>
        <v>288679.24528301886</v>
      </c>
      <c r="AG25" s="88">
        <f t="shared" si="8"/>
        <v>3070754.7169811316</v>
      </c>
      <c r="AH25" s="88">
        <f t="shared" si="9"/>
        <v>529245.28301886842</v>
      </c>
      <c r="AI25" s="88">
        <f t="shared" si="10"/>
        <v>22</v>
      </c>
      <c r="AJ25" s="87">
        <v>12</v>
      </c>
      <c r="AK25" s="88">
        <f t="shared" si="22"/>
        <v>288679.24528301886</v>
      </c>
      <c r="AL25" s="88">
        <f t="shared" si="11"/>
        <v>3359433.9622641504</v>
      </c>
      <c r="AM25" s="88">
        <f t="shared" si="23"/>
        <v>240566.03773584962</v>
      </c>
      <c r="AN25" s="88">
        <f t="shared" si="12"/>
        <v>10</v>
      </c>
      <c r="AO25" s="87">
        <v>10</v>
      </c>
      <c r="AP25" s="88">
        <f t="shared" si="53"/>
        <v>240566.03773584907</v>
      </c>
      <c r="AQ25" s="88">
        <f t="shared" si="13"/>
        <v>3599999.9999999995</v>
      </c>
      <c r="AR25" s="88">
        <f t="shared" si="25"/>
        <v>0</v>
      </c>
      <c r="AS25" s="88">
        <f t="shared" si="14"/>
        <v>0</v>
      </c>
      <c r="AT25" s="87">
        <v>0</v>
      </c>
      <c r="AU25" s="88">
        <f t="shared" si="54"/>
        <v>0</v>
      </c>
      <c r="AV25" s="88">
        <f t="shared" si="15"/>
        <v>3599999.9999999995</v>
      </c>
      <c r="AW25" s="88">
        <f t="shared" si="27"/>
        <v>0</v>
      </c>
      <c r="AY25" s="202">
        <f t="shared" si="28"/>
        <v>0</v>
      </c>
      <c r="AZ25" s="203">
        <f t="shared" si="41"/>
        <v>0</v>
      </c>
      <c r="BA25" s="203">
        <f t="shared" si="42"/>
        <v>0</v>
      </c>
      <c r="BB25" s="203">
        <f t="shared" si="43"/>
        <v>0</v>
      </c>
      <c r="BC25" s="203">
        <f t="shared" si="44"/>
        <v>0</v>
      </c>
      <c r="BD25" s="203">
        <f t="shared" si="45"/>
        <v>0</v>
      </c>
      <c r="BE25" s="203">
        <f t="shared" si="46"/>
        <v>0</v>
      </c>
      <c r="BF25" s="203">
        <f t="shared" si="47"/>
        <v>0</v>
      </c>
      <c r="BG25" s="203">
        <f t="shared" si="48"/>
        <v>0</v>
      </c>
      <c r="BH25" s="203">
        <f t="shared" si="49"/>
        <v>0</v>
      </c>
      <c r="BI25" s="203">
        <f t="shared" si="50"/>
        <v>0</v>
      </c>
      <c r="BJ25" s="203">
        <f t="shared" si="51"/>
        <v>0</v>
      </c>
      <c r="BK25" s="203">
        <f t="shared" si="52"/>
        <v>0</v>
      </c>
    </row>
    <row r="26" spans="2:63" x14ac:dyDescent="0.2">
      <c r="B26" s="75"/>
      <c r="C26" s="76">
        <v>42380</v>
      </c>
      <c r="D26" s="77"/>
      <c r="E26" s="78" t="s">
        <v>80</v>
      </c>
      <c r="F26" s="79"/>
      <c r="G26" s="80">
        <v>0.1</v>
      </c>
      <c r="H26" s="81">
        <v>64000000</v>
      </c>
      <c r="I26" s="81"/>
      <c r="J26" s="81"/>
      <c r="K26" s="81">
        <f t="shared" si="0"/>
        <v>64000000</v>
      </c>
      <c r="L26" s="81"/>
      <c r="M26" s="81"/>
      <c r="N26" s="81">
        <f t="shared" si="1"/>
        <v>64000000</v>
      </c>
      <c r="O26" s="185">
        <v>4</v>
      </c>
      <c r="P26" s="79">
        <f t="shared" si="16"/>
        <v>48</v>
      </c>
      <c r="Q26" s="82">
        <f t="shared" si="17"/>
        <v>10</v>
      </c>
      <c r="R26" s="79">
        <f t="shared" si="18"/>
        <v>120</v>
      </c>
      <c r="S26" s="79">
        <f t="shared" si="19"/>
        <v>1</v>
      </c>
      <c r="T26" s="83">
        <f t="shared" si="20"/>
        <v>2016</v>
      </c>
      <c r="U26" s="84">
        <f t="shared" si="2"/>
        <v>12</v>
      </c>
      <c r="V26" s="85">
        <f t="shared" si="3"/>
        <v>2025</v>
      </c>
      <c r="W26" s="86">
        <f t="shared" si="21"/>
        <v>1333333.3333333333</v>
      </c>
      <c r="X26" s="81">
        <v>444444.44444444444</v>
      </c>
      <c r="Y26" s="88">
        <v>48</v>
      </c>
      <c r="Z26" s="87">
        <v>12</v>
      </c>
      <c r="AA26" s="88">
        <f t="shared" si="4"/>
        <v>5333333.333333333</v>
      </c>
      <c r="AB26" s="88">
        <v>48000000</v>
      </c>
      <c r="AC26" s="88">
        <f t="shared" si="5"/>
        <v>16000000</v>
      </c>
      <c r="AD26" s="88">
        <f t="shared" si="6"/>
        <v>36</v>
      </c>
      <c r="AE26" s="87">
        <v>12</v>
      </c>
      <c r="AF26" s="88">
        <f t="shared" si="7"/>
        <v>5333333.333333333</v>
      </c>
      <c r="AG26" s="88">
        <f t="shared" si="8"/>
        <v>53333333.333333336</v>
      </c>
      <c r="AH26" s="88">
        <f t="shared" si="9"/>
        <v>10666666.666666664</v>
      </c>
      <c r="AI26" s="88">
        <f t="shared" si="10"/>
        <v>24</v>
      </c>
      <c r="AJ26" s="87">
        <v>12</v>
      </c>
      <c r="AK26" s="88">
        <f t="shared" si="22"/>
        <v>5333333.333333333</v>
      </c>
      <c r="AL26" s="88">
        <f t="shared" si="11"/>
        <v>58666666.666666672</v>
      </c>
      <c r="AM26" s="88">
        <f t="shared" si="23"/>
        <v>5333333.3333333284</v>
      </c>
      <c r="AN26" s="88">
        <f t="shared" si="12"/>
        <v>12</v>
      </c>
      <c r="AO26" s="87">
        <v>12</v>
      </c>
      <c r="AP26" s="88">
        <f t="shared" si="53"/>
        <v>5333333.333333333</v>
      </c>
      <c r="AQ26" s="88">
        <f t="shared" si="13"/>
        <v>64000000.000000007</v>
      </c>
      <c r="AR26" s="88">
        <f t="shared" si="25"/>
        <v>0</v>
      </c>
      <c r="AS26" s="88">
        <f t="shared" si="14"/>
        <v>0</v>
      </c>
      <c r="AT26" s="87">
        <v>0</v>
      </c>
      <c r="AU26" s="88">
        <f t="shared" si="54"/>
        <v>0</v>
      </c>
      <c r="AV26" s="88">
        <f t="shared" si="15"/>
        <v>64000000.000000007</v>
      </c>
      <c r="AW26" s="88">
        <f t="shared" si="27"/>
        <v>0</v>
      </c>
      <c r="AY26" s="202">
        <f t="shared" si="28"/>
        <v>0</v>
      </c>
      <c r="AZ26" s="203">
        <f t="shared" si="41"/>
        <v>0</v>
      </c>
      <c r="BA26" s="203">
        <f t="shared" si="42"/>
        <v>0</v>
      </c>
      <c r="BB26" s="203">
        <f t="shared" si="43"/>
        <v>0</v>
      </c>
      <c r="BC26" s="203">
        <f t="shared" si="44"/>
        <v>0</v>
      </c>
      <c r="BD26" s="203">
        <f t="shared" si="45"/>
        <v>0</v>
      </c>
      <c r="BE26" s="203">
        <f t="shared" si="46"/>
        <v>0</v>
      </c>
      <c r="BF26" s="203">
        <f t="shared" si="47"/>
        <v>0</v>
      </c>
      <c r="BG26" s="203">
        <f t="shared" si="48"/>
        <v>0</v>
      </c>
      <c r="BH26" s="203">
        <f t="shared" si="49"/>
        <v>0</v>
      </c>
      <c r="BI26" s="203">
        <f t="shared" si="50"/>
        <v>0</v>
      </c>
      <c r="BJ26" s="203">
        <f t="shared" si="51"/>
        <v>0</v>
      </c>
      <c r="BK26" s="203">
        <f t="shared" si="52"/>
        <v>0</v>
      </c>
    </row>
    <row r="27" spans="2:63" x14ac:dyDescent="0.2">
      <c r="B27" s="75"/>
      <c r="C27" s="76">
        <v>42411</v>
      </c>
      <c r="D27" s="77"/>
      <c r="E27" s="78" t="s">
        <v>81</v>
      </c>
      <c r="F27" s="79"/>
      <c r="G27" s="80">
        <v>0.1</v>
      </c>
      <c r="H27" s="81">
        <v>64000000</v>
      </c>
      <c r="I27" s="81"/>
      <c r="J27" s="81"/>
      <c r="K27" s="81">
        <f t="shared" si="0"/>
        <v>64000000</v>
      </c>
      <c r="L27" s="81"/>
      <c r="M27" s="81"/>
      <c r="N27" s="81">
        <f t="shared" si="1"/>
        <v>64000000</v>
      </c>
      <c r="O27" s="185">
        <v>4</v>
      </c>
      <c r="P27" s="79">
        <f t="shared" si="16"/>
        <v>48</v>
      </c>
      <c r="Q27" s="82">
        <f t="shared" si="17"/>
        <v>10</v>
      </c>
      <c r="R27" s="79">
        <f t="shared" si="18"/>
        <v>120</v>
      </c>
      <c r="S27" s="79">
        <f t="shared" si="19"/>
        <v>2</v>
      </c>
      <c r="T27" s="83">
        <f t="shared" si="20"/>
        <v>2016</v>
      </c>
      <c r="U27" s="84">
        <f t="shared" si="2"/>
        <v>1</v>
      </c>
      <c r="V27" s="85">
        <f t="shared" si="3"/>
        <v>2026</v>
      </c>
      <c r="W27" s="86">
        <f t="shared" si="21"/>
        <v>1333333.3333333333</v>
      </c>
      <c r="X27" s="81">
        <v>452599.3883792049</v>
      </c>
      <c r="Y27" s="88">
        <v>49</v>
      </c>
      <c r="Z27" s="87">
        <v>12</v>
      </c>
      <c r="AA27" s="88">
        <f t="shared" si="4"/>
        <v>5431192.6605504584</v>
      </c>
      <c r="AB27" s="88">
        <v>47253822.629969425</v>
      </c>
      <c r="AC27" s="88">
        <f t="shared" si="5"/>
        <v>16746177.370030575</v>
      </c>
      <c r="AD27" s="88">
        <f t="shared" si="6"/>
        <v>37</v>
      </c>
      <c r="AE27" s="87">
        <v>12</v>
      </c>
      <c r="AF27" s="88">
        <f t="shared" si="7"/>
        <v>5431192.6605504584</v>
      </c>
      <c r="AG27" s="88">
        <f t="shared" si="8"/>
        <v>52685015.290519886</v>
      </c>
      <c r="AH27" s="88">
        <f t="shared" si="9"/>
        <v>11314984.709480114</v>
      </c>
      <c r="AI27" s="88">
        <f t="shared" si="10"/>
        <v>25</v>
      </c>
      <c r="AJ27" s="87">
        <v>12</v>
      </c>
      <c r="AK27" s="88">
        <f t="shared" si="22"/>
        <v>5431192.6605504584</v>
      </c>
      <c r="AL27" s="88">
        <f t="shared" si="11"/>
        <v>58116207.951070346</v>
      </c>
      <c r="AM27" s="88">
        <f t="shared" si="23"/>
        <v>5883792.0489296541</v>
      </c>
      <c r="AN27" s="88">
        <f t="shared" si="12"/>
        <v>13</v>
      </c>
      <c r="AO27" s="87">
        <v>12</v>
      </c>
      <c r="AP27" s="88">
        <f t="shared" si="53"/>
        <v>5431192.6605504584</v>
      </c>
      <c r="AQ27" s="88">
        <f t="shared" si="13"/>
        <v>63547400.611620806</v>
      </c>
      <c r="AR27" s="88">
        <f t="shared" si="25"/>
        <v>452599.38837919384</v>
      </c>
      <c r="AS27" s="88">
        <f t="shared" si="14"/>
        <v>1</v>
      </c>
      <c r="AT27" s="87">
        <v>1</v>
      </c>
      <c r="AU27" s="88">
        <f>AT27*X27</f>
        <v>452599.3883792049</v>
      </c>
      <c r="AV27" s="88">
        <f>+AQ27+AU27</f>
        <v>64000000.000000007</v>
      </c>
      <c r="AW27" s="88">
        <f t="shared" si="27"/>
        <v>0</v>
      </c>
      <c r="AY27" s="202">
        <f t="shared" si="28"/>
        <v>452599.3883792049</v>
      </c>
      <c r="AZ27" s="203">
        <f t="shared" ref="AZ27:AZ40" si="55">+X27*1</f>
        <v>452599.3883792049</v>
      </c>
      <c r="BA27" s="203">
        <f t="shared" ref="BA27:BA28" si="56">+X27*0</f>
        <v>0</v>
      </c>
      <c r="BB27" s="203">
        <f t="shared" ref="BB27:BB28" si="57">+X27*0</f>
        <v>0</v>
      </c>
      <c r="BC27" s="203">
        <f t="shared" ref="BC27:BC28" si="58">+X27*0</f>
        <v>0</v>
      </c>
      <c r="BD27" s="203">
        <f t="shared" ref="BD27:BD28" si="59">+X27*0</f>
        <v>0</v>
      </c>
      <c r="BE27" s="203">
        <f t="shared" ref="BE27:BE28" si="60">+X27*0</f>
        <v>0</v>
      </c>
      <c r="BF27" s="203">
        <f t="shared" ref="BF27:BF28" si="61">+X27*0</f>
        <v>0</v>
      </c>
      <c r="BG27" s="203">
        <f t="shared" ref="BG27:BG28" si="62">+X27*0</f>
        <v>0</v>
      </c>
      <c r="BH27" s="203">
        <f t="shared" ref="BH27:BH28" si="63">+X27*0</f>
        <v>0</v>
      </c>
      <c r="BI27" s="203">
        <f t="shared" ref="BI27:BI28" si="64">+X27*0</f>
        <v>0</v>
      </c>
      <c r="BJ27" s="203">
        <f t="shared" ref="BJ27:BJ28" si="65">+X27*0</f>
        <v>0</v>
      </c>
      <c r="BK27" s="203">
        <f t="shared" ref="BK27:BK28" si="66">+X27*0</f>
        <v>0</v>
      </c>
    </row>
    <row r="28" spans="2:63" x14ac:dyDescent="0.2">
      <c r="B28" s="75"/>
      <c r="C28" s="76">
        <v>42426</v>
      </c>
      <c r="D28" s="77"/>
      <c r="E28" s="78" t="s">
        <v>82</v>
      </c>
      <c r="F28" s="79"/>
      <c r="G28" s="80">
        <v>0.1</v>
      </c>
      <c r="H28" s="81">
        <v>64000000</v>
      </c>
      <c r="I28" s="81"/>
      <c r="J28" s="81"/>
      <c r="K28" s="81">
        <f t="shared" si="0"/>
        <v>64000000</v>
      </c>
      <c r="L28" s="81"/>
      <c r="M28" s="81"/>
      <c r="N28" s="81">
        <f t="shared" si="1"/>
        <v>64000000</v>
      </c>
      <c r="O28" s="185">
        <v>4</v>
      </c>
      <c r="P28" s="79">
        <f t="shared" si="16"/>
        <v>48</v>
      </c>
      <c r="Q28" s="82">
        <f t="shared" si="17"/>
        <v>10</v>
      </c>
      <c r="R28" s="79">
        <f t="shared" si="18"/>
        <v>120</v>
      </c>
      <c r="S28" s="79">
        <f t="shared" si="19"/>
        <v>2</v>
      </c>
      <c r="T28" s="83">
        <f t="shared" si="20"/>
        <v>2016</v>
      </c>
      <c r="U28" s="84">
        <f t="shared" si="2"/>
        <v>1</v>
      </c>
      <c r="V28" s="85">
        <f t="shared" si="3"/>
        <v>2026</v>
      </c>
      <c r="W28" s="86">
        <f t="shared" si="21"/>
        <v>1333333.3333333333</v>
      </c>
      <c r="X28" s="81">
        <v>452599.3883792049</v>
      </c>
      <c r="Y28" s="88">
        <v>49</v>
      </c>
      <c r="Z28" s="87">
        <v>12</v>
      </c>
      <c r="AA28" s="88">
        <f t="shared" si="4"/>
        <v>5431192.6605504584</v>
      </c>
      <c r="AB28" s="88">
        <v>47253822.629969425</v>
      </c>
      <c r="AC28" s="88">
        <f t="shared" si="5"/>
        <v>16746177.370030575</v>
      </c>
      <c r="AD28" s="88">
        <f t="shared" si="6"/>
        <v>37</v>
      </c>
      <c r="AE28" s="87">
        <v>12</v>
      </c>
      <c r="AF28" s="88">
        <f t="shared" si="7"/>
        <v>5431192.6605504584</v>
      </c>
      <c r="AG28" s="88">
        <f t="shared" si="8"/>
        <v>52685015.290519886</v>
      </c>
      <c r="AH28" s="88">
        <f t="shared" si="9"/>
        <v>11314984.709480114</v>
      </c>
      <c r="AI28" s="88">
        <f t="shared" si="10"/>
        <v>25</v>
      </c>
      <c r="AJ28" s="87">
        <v>12</v>
      </c>
      <c r="AK28" s="88">
        <f t="shared" si="22"/>
        <v>5431192.6605504584</v>
      </c>
      <c r="AL28" s="88">
        <f t="shared" si="11"/>
        <v>58116207.951070346</v>
      </c>
      <c r="AM28" s="88">
        <f t="shared" si="23"/>
        <v>5883792.0489296541</v>
      </c>
      <c r="AN28" s="88">
        <f t="shared" si="12"/>
        <v>13</v>
      </c>
      <c r="AO28" s="87">
        <v>12</v>
      </c>
      <c r="AP28" s="88">
        <f t="shared" si="53"/>
        <v>5431192.6605504584</v>
      </c>
      <c r="AQ28" s="88">
        <f t="shared" si="13"/>
        <v>63547400.611620806</v>
      </c>
      <c r="AR28" s="88">
        <f t="shared" si="25"/>
        <v>452599.38837919384</v>
      </c>
      <c r="AS28" s="88">
        <f t="shared" si="14"/>
        <v>1</v>
      </c>
      <c r="AT28" s="87">
        <v>1</v>
      </c>
      <c r="AU28" s="88">
        <f t="shared" ref="AU28:AU40" si="67">AT28*X28</f>
        <v>452599.3883792049</v>
      </c>
      <c r="AV28" s="88">
        <f t="shared" si="15"/>
        <v>64000000.000000007</v>
      </c>
      <c r="AW28" s="88">
        <f t="shared" si="27"/>
        <v>0</v>
      </c>
      <c r="AY28" s="202">
        <f t="shared" si="28"/>
        <v>452599.3883792049</v>
      </c>
      <c r="AZ28" s="203">
        <f t="shared" si="55"/>
        <v>452599.3883792049</v>
      </c>
      <c r="BA28" s="203">
        <f t="shared" si="56"/>
        <v>0</v>
      </c>
      <c r="BB28" s="203">
        <f t="shared" si="57"/>
        <v>0</v>
      </c>
      <c r="BC28" s="203">
        <f t="shared" si="58"/>
        <v>0</v>
      </c>
      <c r="BD28" s="203">
        <f t="shared" si="59"/>
        <v>0</v>
      </c>
      <c r="BE28" s="203">
        <f t="shared" si="60"/>
        <v>0</v>
      </c>
      <c r="BF28" s="203">
        <f t="shared" si="61"/>
        <v>0</v>
      </c>
      <c r="BG28" s="203">
        <f t="shared" si="62"/>
        <v>0</v>
      </c>
      <c r="BH28" s="203">
        <f t="shared" si="63"/>
        <v>0</v>
      </c>
      <c r="BI28" s="203">
        <f t="shared" si="64"/>
        <v>0</v>
      </c>
      <c r="BJ28" s="203">
        <f t="shared" si="65"/>
        <v>0</v>
      </c>
      <c r="BK28" s="203">
        <f t="shared" si="66"/>
        <v>0</v>
      </c>
    </row>
    <row r="29" spans="2:63" x14ac:dyDescent="0.2">
      <c r="B29" s="75"/>
      <c r="C29" s="76">
        <v>42440</v>
      </c>
      <c r="D29" s="77"/>
      <c r="E29" s="78" t="s">
        <v>83</v>
      </c>
      <c r="F29" s="79"/>
      <c r="G29" s="80">
        <v>0.1</v>
      </c>
      <c r="H29" s="81">
        <v>48000000</v>
      </c>
      <c r="I29" s="81"/>
      <c r="J29" s="81"/>
      <c r="K29" s="81">
        <f t="shared" si="0"/>
        <v>48000000</v>
      </c>
      <c r="L29" s="81"/>
      <c r="M29" s="81"/>
      <c r="N29" s="81">
        <f t="shared" si="1"/>
        <v>48000000</v>
      </c>
      <c r="O29" s="185">
        <v>4</v>
      </c>
      <c r="P29" s="79">
        <f t="shared" si="16"/>
        <v>48</v>
      </c>
      <c r="Q29" s="82">
        <f t="shared" si="17"/>
        <v>10</v>
      </c>
      <c r="R29" s="79">
        <f t="shared" si="18"/>
        <v>120</v>
      </c>
      <c r="S29" s="79">
        <f t="shared" si="19"/>
        <v>3</v>
      </c>
      <c r="T29" s="83">
        <f t="shared" si="20"/>
        <v>2016</v>
      </c>
      <c r="U29" s="84">
        <f t="shared" si="2"/>
        <v>2</v>
      </c>
      <c r="V29" s="85">
        <f t="shared" si="3"/>
        <v>2026</v>
      </c>
      <c r="W29" s="86">
        <f t="shared" si="21"/>
        <v>1000000</v>
      </c>
      <c r="X29" s="81">
        <v>345454.54545454547</v>
      </c>
      <c r="Y29" s="88">
        <v>50</v>
      </c>
      <c r="Z29" s="87">
        <v>12</v>
      </c>
      <c r="AA29" s="88">
        <f t="shared" si="4"/>
        <v>4145454.5454545459</v>
      </c>
      <c r="AB29" s="88">
        <v>34872727.272727281</v>
      </c>
      <c r="AC29" s="88">
        <f t="shared" si="5"/>
        <v>13127272.727272719</v>
      </c>
      <c r="AD29" s="88">
        <f t="shared" si="6"/>
        <v>38</v>
      </c>
      <c r="AE29" s="87">
        <v>12</v>
      </c>
      <c r="AF29" s="88">
        <f t="shared" si="7"/>
        <v>4145454.5454545459</v>
      </c>
      <c r="AG29" s="88">
        <f t="shared" si="8"/>
        <v>39018181.818181828</v>
      </c>
      <c r="AH29" s="88">
        <f t="shared" si="9"/>
        <v>8981818.1818181723</v>
      </c>
      <c r="AI29" s="88">
        <f t="shared" si="10"/>
        <v>26</v>
      </c>
      <c r="AJ29" s="87">
        <v>12</v>
      </c>
      <c r="AK29" s="88">
        <f t="shared" si="22"/>
        <v>4145454.5454545459</v>
      </c>
      <c r="AL29" s="88">
        <f t="shared" si="11"/>
        <v>43163636.363636374</v>
      </c>
      <c r="AM29" s="88">
        <f t="shared" si="23"/>
        <v>4836363.6363636255</v>
      </c>
      <c r="AN29" s="88">
        <f t="shared" si="12"/>
        <v>14</v>
      </c>
      <c r="AO29" s="87">
        <v>12</v>
      </c>
      <c r="AP29" s="88">
        <f t="shared" si="53"/>
        <v>4145454.5454545459</v>
      </c>
      <c r="AQ29" s="88">
        <f t="shared" si="13"/>
        <v>47309090.909090921</v>
      </c>
      <c r="AR29" s="88">
        <f t="shared" si="25"/>
        <v>690909.09090907872</v>
      </c>
      <c r="AS29" s="88">
        <f t="shared" si="14"/>
        <v>2</v>
      </c>
      <c r="AT29" s="87">
        <v>2</v>
      </c>
      <c r="AU29" s="88">
        <f t="shared" si="67"/>
        <v>690909.09090909094</v>
      </c>
      <c r="AV29" s="88">
        <f t="shared" si="15"/>
        <v>48000000.000000015</v>
      </c>
      <c r="AW29" s="88">
        <f t="shared" si="27"/>
        <v>0</v>
      </c>
      <c r="AY29" s="202">
        <f t="shared" si="28"/>
        <v>690909.09090909094</v>
      </c>
      <c r="AZ29" s="203">
        <f t="shared" si="55"/>
        <v>345454.54545454547</v>
      </c>
      <c r="BA29" s="203">
        <f t="shared" ref="BA29:BA40" si="68">+X29*1</f>
        <v>345454.54545454547</v>
      </c>
      <c r="BB29" s="203">
        <f t="shared" ref="BB29" si="69">+X29*0</f>
        <v>0</v>
      </c>
      <c r="BC29" s="203">
        <f t="shared" ref="BC29" si="70">+X29*0</f>
        <v>0</v>
      </c>
      <c r="BD29" s="203">
        <f t="shared" ref="BD29" si="71">+X29*0</f>
        <v>0</v>
      </c>
      <c r="BE29" s="203">
        <f t="shared" ref="BE29" si="72">+X29*0</f>
        <v>0</v>
      </c>
      <c r="BF29" s="203">
        <f t="shared" ref="BF29" si="73">+X29*0</f>
        <v>0</v>
      </c>
      <c r="BG29" s="203">
        <f t="shared" ref="BG29" si="74">+X29*0</f>
        <v>0</v>
      </c>
      <c r="BH29" s="203">
        <f t="shared" ref="BH29" si="75">+X29*0</f>
        <v>0</v>
      </c>
      <c r="BI29" s="203">
        <f t="shared" ref="BI29" si="76">+X29*0</f>
        <v>0</v>
      </c>
      <c r="BJ29" s="203">
        <f t="shared" ref="BJ29" si="77">+X29*0</f>
        <v>0</v>
      </c>
      <c r="BK29" s="203">
        <f t="shared" ref="BK29" si="78">+X29*0</f>
        <v>0</v>
      </c>
    </row>
    <row r="30" spans="2:63" x14ac:dyDescent="0.2">
      <c r="B30" s="75"/>
      <c r="C30" s="76">
        <v>42487</v>
      </c>
      <c r="D30" s="77"/>
      <c r="E30" s="78" t="s">
        <v>84</v>
      </c>
      <c r="F30" s="79"/>
      <c r="G30" s="80">
        <v>0.1</v>
      </c>
      <c r="H30" s="81">
        <v>65000000</v>
      </c>
      <c r="I30" s="81"/>
      <c r="J30" s="81"/>
      <c r="K30" s="81">
        <f t="shared" si="0"/>
        <v>65000000</v>
      </c>
      <c r="L30" s="81"/>
      <c r="M30" s="81"/>
      <c r="N30" s="81">
        <f t="shared" si="1"/>
        <v>65000000</v>
      </c>
      <c r="O30" s="185">
        <v>4</v>
      </c>
      <c r="P30" s="79">
        <f t="shared" si="16"/>
        <v>48</v>
      </c>
      <c r="Q30" s="82">
        <f t="shared" si="17"/>
        <v>10</v>
      </c>
      <c r="R30" s="79">
        <f t="shared" si="18"/>
        <v>120</v>
      </c>
      <c r="S30" s="79">
        <f t="shared" si="19"/>
        <v>4</v>
      </c>
      <c r="T30" s="83">
        <f t="shared" si="20"/>
        <v>2016</v>
      </c>
      <c r="U30" s="84">
        <f t="shared" si="2"/>
        <v>3</v>
      </c>
      <c r="V30" s="85">
        <f t="shared" si="3"/>
        <v>2026</v>
      </c>
      <c r="W30" s="86">
        <f t="shared" si="21"/>
        <v>1354166.6666666667</v>
      </c>
      <c r="X30" s="81">
        <v>475788.28828828828</v>
      </c>
      <c r="Y30" s="88">
        <v>51</v>
      </c>
      <c r="Z30" s="87">
        <v>12</v>
      </c>
      <c r="AA30" s="88">
        <f t="shared" si="4"/>
        <v>5709459.4594594594</v>
      </c>
      <c r="AB30" s="88">
        <v>46444256.756756768</v>
      </c>
      <c r="AC30" s="88">
        <f t="shared" si="5"/>
        <v>18555743.243243232</v>
      </c>
      <c r="AD30" s="88">
        <f t="shared" si="6"/>
        <v>39</v>
      </c>
      <c r="AE30" s="87">
        <v>12</v>
      </c>
      <c r="AF30" s="88">
        <f t="shared" si="7"/>
        <v>5709459.4594594594</v>
      </c>
      <c r="AG30" s="88">
        <f t="shared" si="8"/>
        <v>52153716.216216229</v>
      </c>
      <c r="AH30" s="88">
        <f t="shared" si="9"/>
        <v>12846283.783783771</v>
      </c>
      <c r="AI30" s="88">
        <f t="shared" si="10"/>
        <v>27</v>
      </c>
      <c r="AJ30" s="87">
        <v>12</v>
      </c>
      <c r="AK30" s="88">
        <f t="shared" si="22"/>
        <v>5709459.4594594594</v>
      </c>
      <c r="AL30" s="88">
        <f t="shared" si="11"/>
        <v>57863175.67567569</v>
      </c>
      <c r="AM30" s="88">
        <f t="shared" si="23"/>
        <v>7136824.3243243098</v>
      </c>
      <c r="AN30" s="88">
        <f t="shared" si="12"/>
        <v>15</v>
      </c>
      <c r="AO30" s="87">
        <v>12</v>
      </c>
      <c r="AP30" s="88">
        <f t="shared" si="53"/>
        <v>5709459.4594594594</v>
      </c>
      <c r="AQ30" s="88">
        <f t="shared" si="13"/>
        <v>63572635.135135151</v>
      </c>
      <c r="AR30" s="88">
        <f t="shared" si="25"/>
        <v>1427364.8648648486</v>
      </c>
      <c r="AS30" s="88">
        <f t="shared" si="14"/>
        <v>3</v>
      </c>
      <c r="AT30" s="87">
        <v>3</v>
      </c>
      <c r="AU30" s="88">
        <f t="shared" si="67"/>
        <v>1427364.8648648649</v>
      </c>
      <c r="AV30" s="88">
        <f t="shared" si="15"/>
        <v>65000000.000000015</v>
      </c>
      <c r="AW30" s="88">
        <f t="shared" si="27"/>
        <v>0</v>
      </c>
      <c r="AY30" s="202">
        <f t="shared" si="28"/>
        <v>1427364.8648648649</v>
      </c>
      <c r="AZ30" s="203">
        <f t="shared" si="55"/>
        <v>475788.28828828828</v>
      </c>
      <c r="BA30" s="203">
        <f t="shared" si="68"/>
        <v>475788.28828828828</v>
      </c>
      <c r="BB30" s="203">
        <f t="shared" ref="BB30:BB40" si="79">+X30*1</f>
        <v>475788.28828828828</v>
      </c>
      <c r="BC30" s="203">
        <f t="shared" ref="BC30" si="80">+X30*0</f>
        <v>0</v>
      </c>
      <c r="BD30" s="203">
        <f t="shared" ref="BD30" si="81">+X30*0</f>
        <v>0</v>
      </c>
      <c r="BE30" s="203">
        <f t="shared" ref="BE30" si="82">+X30*0</f>
        <v>0</v>
      </c>
      <c r="BF30" s="203">
        <f t="shared" ref="BF30" si="83">+X30*0</f>
        <v>0</v>
      </c>
      <c r="BG30" s="203">
        <f t="shared" ref="BG30" si="84">+X30*0</f>
        <v>0</v>
      </c>
      <c r="BH30" s="203">
        <f t="shared" ref="BH30" si="85">+X30*0</f>
        <v>0</v>
      </c>
      <c r="BI30" s="203">
        <f t="shared" ref="BI30" si="86">+X30*0</f>
        <v>0</v>
      </c>
      <c r="BJ30" s="203">
        <f t="shared" ref="BJ30" si="87">+X30*0</f>
        <v>0</v>
      </c>
      <c r="BK30" s="203">
        <f t="shared" ref="BK30" si="88">+X30*0</f>
        <v>0</v>
      </c>
    </row>
    <row r="31" spans="2:63" x14ac:dyDescent="0.2">
      <c r="B31" s="75"/>
      <c r="C31" s="76">
        <v>42523</v>
      </c>
      <c r="D31" s="77"/>
      <c r="E31" s="78" t="s">
        <v>85</v>
      </c>
      <c r="F31" s="79"/>
      <c r="G31" s="80">
        <v>0.1</v>
      </c>
      <c r="H31" s="81">
        <v>10000000</v>
      </c>
      <c r="I31" s="81"/>
      <c r="J31" s="81"/>
      <c r="K31" s="81">
        <f t="shared" si="0"/>
        <v>10000000</v>
      </c>
      <c r="L31" s="81"/>
      <c r="M31" s="81"/>
      <c r="N31" s="81">
        <f t="shared" si="1"/>
        <v>10000000</v>
      </c>
      <c r="O31" s="185">
        <v>4</v>
      </c>
      <c r="P31" s="79">
        <f t="shared" si="16"/>
        <v>48</v>
      </c>
      <c r="Q31" s="82">
        <f t="shared" si="17"/>
        <v>10</v>
      </c>
      <c r="R31" s="79">
        <f t="shared" si="18"/>
        <v>120</v>
      </c>
      <c r="S31" s="79">
        <f t="shared" si="19"/>
        <v>6</v>
      </c>
      <c r="T31" s="83">
        <f t="shared" si="20"/>
        <v>2016</v>
      </c>
      <c r="U31" s="84">
        <f t="shared" si="2"/>
        <v>5</v>
      </c>
      <c r="V31" s="85">
        <f t="shared" si="3"/>
        <v>2026</v>
      </c>
      <c r="W31" s="86">
        <f t="shared" si="21"/>
        <v>208333.33333333334</v>
      </c>
      <c r="X31" s="81">
        <v>75589.97050147492</v>
      </c>
      <c r="Y31" s="88">
        <v>53</v>
      </c>
      <c r="Z31" s="87">
        <v>12</v>
      </c>
      <c r="AA31" s="88">
        <f t="shared" si="4"/>
        <v>907079.64601769904</v>
      </c>
      <c r="AB31" s="88">
        <v>6900811.2094395272</v>
      </c>
      <c r="AC31" s="88">
        <f t="shared" si="5"/>
        <v>3099188.7905604728</v>
      </c>
      <c r="AD31" s="88">
        <f t="shared" si="6"/>
        <v>41</v>
      </c>
      <c r="AE31" s="87">
        <v>12</v>
      </c>
      <c r="AF31" s="88">
        <f t="shared" si="7"/>
        <v>907079.64601769904</v>
      </c>
      <c r="AG31" s="88">
        <f t="shared" si="8"/>
        <v>7807890.8554572258</v>
      </c>
      <c r="AH31" s="88">
        <f t="shared" si="9"/>
        <v>2192109.1445427742</v>
      </c>
      <c r="AI31" s="88">
        <f t="shared" si="10"/>
        <v>29</v>
      </c>
      <c r="AJ31" s="87">
        <v>12</v>
      </c>
      <c r="AK31" s="88">
        <f t="shared" si="22"/>
        <v>907079.64601769904</v>
      </c>
      <c r="AL31" s="88">
        <f t="shared" si="11"/>
        <v>8714970.5014749244</v>
      </c>
      <c r="AM31" s="88">
        <f t="shared" si="23"/>
        <v>1285029.4985250756</v>
      </c>
      <c r="AN31" s="88">
        <f t="shared" si="12"/>
        <v>17</v>
      </c>
      <c r="AO31" s="87">
        <v>12</v>
      </c>
      <c r="AP31" s="88">
        <f t="shared" si="53"/>
        <v>907079.64601769904</v>
      </c>
      <c r="AQ31" s="88">
        <f t="shared" si="13"/>
        <v>9622050.147492623</v>
      </c>
      <c r="AR31" s="88">
        <f t="shared" si="25"/>
        <v>377949.85250737704</v>
      </c>
      <c r="AS31" s="88">
        <f t="shared" si="14"/>
        <v>5</v>
      </c>
      <c r="AT31" s="87">
        <v>5</v>
      </c>
      <c r="AU31" s="88">
        <f t="shared" si="67"/>
        <v>377949.8525073746</v>
      </c>
      <c r="AV31" s="88">
        <f t="shared" si="15"/>
        <v>9999999.9999999981</v>
      </c>
      <c r="AW31" s="88">
        <f t="shared" si="27"/>
        <v>0</v>
      </c>
      <c r="AY31" s="202">
        <f t="shared" si="28"/>
        <v>377949.8525073746</v>
      </c>
      <c r="AZ31" s="203">
        <f t="shared" si="55"/>
        <v>75589.97050147492</v>
      </c>
      <c r="BA31" s="203">
        <f t="shared" si="68"/>
        <v>75589.97050147492</v>
      </c>
      <c r="BB31" s="203">
        <f t="shared" si="79"/>
        <v>75589.97050147492</v>
      </c>
      <c r="BC31" s="203">
        <f t="shared" ref="BC31:BC40" si="89">+X31*1</f>
        <v>75589.97050147492</v>
      </c>
      <c r="BD31" s="203">
        <f t="shared" ref="BD31:BD40" si="90">+X31*1</f>
        <v>75589.97050147492</v>
      </c>
      <c r="BE31" s="203">
        <f t="shared" ref="BE31:BE33" si="91">+X31*0</f>
        <v>0</v>
      </c>
      <c r="BF31" s="203">
        <f t="shared" ref="BF31:BF33" si="92">+X31*0</f>
        <v>0</v>
      </c>
      <c r="BG31" s="203">
        <f t="shared" ref="BG31:BG33" si="93">+X31*0</f>
        <v>0</v>
      </c>
      <c r="BH31" s="203">
        <f t="shared" ref="BH31:BH33" si="94">+X31*0</f>
        <v>0</v>
      </c>
      <c r="BI31" s="203">
        <f t="shared" ref="BI31:BI33" si="95">+X31*0</f>
        <v>0</v>
      </c>
      <c r="BJ31" s="203">
        <f t="shared" ref="BJ31:BJ33" si="96">+X31*0</f>
        <v>0</v>
      </c>
      <c r="BK31" s="203">
        <f t="shared" ref="BK31:BK33" si="97">+X31*0</f>
        <v>0</v>
      </c>
    </row>
    <row r="32" spans="2:63" x14ac:dyDescent="0.2">
      <c r="B32" s="75"/>
      <c r="C32" s="76">
        <v>42543</v>
      </c>
      <c r="D32" s="77"/>
      <c r="E32" s="78" t="s">
        <v>86</v>
      </c>
      <c r="F32" s="79"/>
      <c r="G32" s="80">
        <v>0.1</v>
      </c>
      <c r="H32" s="81">
        <v>20000000</v>
      </c>
      <c r="I32" s="81"/>
      <c r="J32" s="81"/>
      <c r="K32" s="81">
        <f t="shared" si="0"/>
        <v>20000000</v>
      </c>
      <c r="L32" s="81"/>
      <c r="M32" s="81"/>
      <c r="N32" s="81">
        <f t="shared" si="1"/>
        <v>20000000</v>
      </c>
      <c r="O32" s="185">
        <v>4</v>
      </c>
      <c r="P32" s="79">
        <f t="shared" si="16"/>
        <v>48</v>
      </c>
      <c r="Q32" s="82">
        <f t="shared" si="17"/>
        <v>10</v>
      </c>
      <c r="R32" s="79">
        <f t="shared" si="18"/>
        <v>120</v>
      </c>
      <c r="S32" s="79">
        <f t="shared" si="19"/>
        <v>6</v>
      </c>
      <c r="T32" s="83">
        <f t="shared" si="20"/>
        <v>2016</v>
      </c>
      <c r="U32" s="84">
        <f t="shared" si="2"/>
        <v>5</v>
      </c>
      <c r="V32" s="85">
        <f t="shared" si="3"/>
        <v>2026</v>
      </c>
      <c r="W32" s="86">
        <f t="shared" si="21"/>
        <v>416666.66666666669</v>
      </c>
      <c r="X32" s="81">
        <v>151179.94100294984</v>
      </c>
      <c r="Y32" s="88">
        <v>53</v>
      </c>
      <c r="Z32" s="87">
        <v>12</v>
      </c>
      <c r="AA32" s="88">
        <f t="shared" si="4"/>
        <v>1814159.2920353981</v>
      </c>
      <c r="AB32" s="88">
        <v>13801622.418879054</v>
      </c>
      <c r="AC32" s="88">
        <f t="shared" si="5"/>
        <v>6198377.5811209455</v>
      </c>
      <c r="AD32" s="88">
        <f t="shared" si="6"/>
        <v>41</v>
      </c>
      <c r="AE32" s="87">
        <v>12</v>
      </c>
      <c r="AF32" s="88">
        <f t="shared" si="7"/>
        <v>1814159.2920353981</v>
      </c>
      <c r="AG32" s="88">
        <f t="shared" si="8"/>
        <v>15615781.710914452</v>
      </c>
      <c r="AH32" s="88">
        <f t="shared" si="9"/>
        <v>4384218.2890855484</v>
      </c>
      <c r="AI32" s="88">
        <f t="shared" si="10"/>
        <v>29</v>
      </c>
      <c r="AJ32" s="87">
        <v>12</v>
      </c>
      <c r="AK32" s="88">
        <f t="shared" si="22"/>
        <v>1814159.2920353981</v>
      </c>
      <c r="AL32" s="88">
        <f t="shared" si="11"/>
        <v>17429941.002949849</v>
      </c>
      <c r="AM32" s="88">
        <f t="shared" si="23"/>
        <v>2570058.9970501512</v>
      </c>
      <c r="AN32" s="88">
        <f t="shared" si="12"/>
        <v>17</v>
      </c>
      <c r="AO32" s="87">
        <v>12</v>
      </c>
      <c r="AP32" s="88">
        <f t="shared" si="53"/>
        <v>1814159.2920353981</v>
      </c>
      <c r="AQ32" s="88">
        <f t="shared" si="13"/>
        <v>19244100.294985246</v>
      </c>
      <c r="AR32" s="88">
        <f t="shared" si="25"/>
        <v>755899.70501475409</v>
      </c>
      <c r="AS32" s="88">
        <f t="shared" si="14"/>
        <v>5</v>
      </c>
      <c r="AT32" s="87">
        <v>5</v>
      </c>
      <c r="AU32" s="88">
        <f t="shared" si="67"/>
        <v>755899.7050147492</v>
      </c>
      <c r="AV32" s="88">
        <f t="shared" si="15"/>
        <v>19999999.999999996</v>
      </c>
      <c r="AW32" s="88">
        <f t="shared" si="27"/>
        <v>0</v>
      </c>
      <c r="AY32" s="202">
        <f t="shared" si="28"/>
        <v>755899.7050147492</v>
      </c>
      <c r="AZ32" s="203">
        <f t="shared" si="55"/>
        <v>151179.94100294984</v>
      </c>
      <c r="BA32" s="203">
        <f t="shared" si="68"/>
        <v>151179.94100294984</v>
      </c>
      <c r="BB32" s="203">
        <f t="shared" si="79"/>
        <v>151179.94100294984</v>
      </c>
      <c r="BC32" s="203">
        <f t="shared" si="89"/>
        <v>151179.94100294984</v>
      </c>
      <c r="BD32" s="203">
        <f t="shared" si="90"/>
        <v>151179.94100294984</v>
      </c>
      <c r="BE32" s="203">
        <f t="shared" si="91"/>
        <v>0</v>
      </c>
      <c r="BF32" s="203">
        <f t="shared" si="92"/>
        <v>0</v>
      </c>
      <c r="BG32" s="203">
        <f t="shared" si="93"/>
        <v>0</v>
      </c>
      <c r="BH32" s="203">
        <f t="shared" si="94"/>
        <v>0</v>
      </c>
      <c r="BI32" s="203">
        <f t="shared" si="95"/>
        <v>0</v>
      </c>
      <c r="BJ32" s="203">
        <f t="shared" si="96"/>
        <v>0</v>
      </c>
      <c r="BK32" s="203">
        <f t="shared" si="97"/>
        <v>0</v>
      </c>
    </row>
    <row r="33" spans="2:63" x14ac:dyDescent="0.2">
      <c r="B33" s="75"/>
      <c r="C33" s="76">
        <v>42545</v>
      </c>
      <c r="D33" s="77"/>
      <c r="E33" s="78" t="s">
        <v>87</v>
      </c>
      <c r="F33" s="79"/>
      <c r="G33" s="80">
        <v>0.1</v>
      </c>
      <c r="H33" s="81">
        <v>18500000</v>
      </c>
      <c r="I33" s="81"/>
      <c r="J33" s="81"/>
      <c r="K33" s="81">
        <f t="shared" si="0"/>
        <v>18500000</v>
      </c>
      <c r="L33" s="81"/>
      <c r="M33" s="81"/>
      <c r="N33" s="81">
        <f t="shared" si="1"/>
        <v>18500000</v>
      </c>
      <c r="O33" s="185">
        <v>4</v>
      </c>
      <c r="P33" s="79">
        <f t="shared" si="16"/>
        <v>48</v>
      </c>
      <c r="Q33" s="82">
        <f t="shared" si="17"/>
        <v>10</v>
      </c>
      <c r="R33" s="79">
        <f t="shared" si="18"/>
        <v>120</v>
      </c>
      <c r="S33" s="79">
        <f t="shared" si="19"/>
        <v>6</v>
      </c>
      <c r="T33" s="83">
        <f t="shared" si="20"/>
        <v>2016</v>
      </c>
      <c r="U33" s="84">
        <f t="shared" si="2"/>
        <v>5</v>
      </c>
      <c r="V33" s="85">
        <f t="shared" si="3"/>
        <v>2026</v>
      </c>
      <c r="W33" s="86">
        <f t="shared" si="21"/>
        <v>385416.66666666669</v>
      </c>
      <c r="X33" s="81">
        <v>139841.44542772861</v>
      </c>
      <c r="Y33" s="88">
        <v>53</v>
      </c>
      <c r="Z33" s="87">
        <v>12</v>
      </c>
      <c r="AA33" s="88">
        <f t="shared" si="4"/>
        <v>1678097.3451327435</v>
      </c>
      <c r="AB33" s="88">
        <v>12766500.73746313</v>
      </c>
      <c r="AC33" s="88">
        <f t="shared" si="5"/>
        <v>5733499.2625368703</v>
      </c>
      <c r="AD33" s="88">
        <f t="shared" si="6"/>
        <v>41</v>
      </c>
      <c r="AE33" s="87">
        <v>12</v>
      </c>
      <c r="AF33" s="88">
        <f t="shared" si="7"/>
        <v>1678097.3451327435</v>
      </c>
      <c r="AG33" s="88">
        <f t="shared" si="8"/>
        <v>14444598.082595874</v>
      </c>
      <c r="AH33" s="88">
        <f t="shared" si="9"/>
        <v>4055401.9174041264</v>
      </c>
      <c r="AI33" s="88">
        <f t="shared" si="10"/>
        <v>29</v>
      </c>
      <c r="AJ33" s="87">
        <v>12</v>
      </c>
      <c r="AK33" s="88">
        <f t="shared" si="22"/>
        <v>1678097.3451327435</v>
      </c>
      <c r="AL33" s="88">
        <f t="shared" si="11"/>
        <v>16122695.427728618</v>
      </c>
      <c r="AM33" s="88">
        <f t="shared" si="23"/>
        <v>2377304.5722713824</v>
      </c>
      <c r="AN33" s="88">
        <f t="shared" si="12"/>
        <v>17</v>
      </c>
      <c r="AO33" s="87">
        <v>12</v>
      </c>
      <c r="AP33" s="88">
        <f t="shared" si="53"/>
        <v>1678097.3451327435</v>
      </c>
      <c r="AQ33" s="88">
        <f t="shared" si="13"/>
        <v>17800792.772861362</v>
      </c>
      <c r="AR33" s="88">
        <f t="shared" si="25"/>
        <v>699207.2271386385</v>
      </c>
      <c r="AS33" s="88">
        <f t="shared" si="14"/>
        <v>5</v>
      </c>
      <c r="AT33" s="87">
        <v>5</v>
      </c>
      <c r="AU33" s="88">
        <f t="shared" si="67"/>
        <v>699207.22713864304</v>
      </c>
      <c r="AV33" s="88">
        <f t="shared" si="15"/>
        <v>18500000.000000004</v>
      </c>
      <c r="AW33" s="88">
        <f t="shared" si="27"/>
        <v>0</v>
      </c>
      <c r="AY33" s="202">
        <f t="shared" si="28"/>
        <v>699207.22713864304</v>
      </c>
      <c r="AZ33" s="203">
        <f t="shared" si="55"/>
        <v>139841.44542772861</v>
      </c>
      <c r="BA33" s="203">
        <f t="shared" si="68"/>
        <v>139841.44542772861</v>
      </c>
      <c r="BB33" s="203">
        <f t="shared" si="79"/>
        <v>139841.44542772861</v>
      </c>
      <c r="BC33" s="203">
        <f t="shared" si="89"/>
        <v>139841.44542772861</v>
      </c>
      <c r="BD33" s="203">
        <f t="shared" si="90"/>
        <v>139841.44542772861</v>
      </c>
      <c r="BE33" s="203">
        <f t="shared" si="91"/>
        <v>0</v>
      </c>
      <c r="BF33" s="203">
        <f t="shared" si="92"/>
        <v>0</v>
      </c>
      <c r="BG33" s="203">
        <f t="shared" si="93"/>
        <v>0</v>
      </c>
      <c r="BH33" s="203">
        <f t="shared" si="94"/>
        <v>0</v>
      </c>
      <c r="BI33" s="203">
        <f t="shared" si="95"/>
        <v>0</v>
      </c>
      <c r="BJ33" s="203">
        <f t="shared" si="96"/>
        <v>0</v>
      </c>
      <c r="BK33" s="203">
        <f t="shared" si="97"/>
        <v>0</v>
      </c>
    </row>
    <row r="34" spans="2:63" x14ac:dyDescent="0.2">
      <c r="B34" s="75"/>
      <c r="C34" s="76">
        <v>42552</v>
      </c>
      <c r="D34" s="77"/>
      <c r="E34" s="78" t="s">
        <v>88</v>
      </c>
      <c r="F34" s="79"/>
      <c r="G34" s="80">
        <v>0.1</v>
      </c>
      <c r="H34" s="81">
        <v>3000000</v>
      </c>
      <c r="I34" s="81"/>
      <c r="J34" s="81"/>
      <c r="K34" s="81">
        <f t="shared" si="0"/>
        <v>3000000</v>
      </c>
      <c r="L34" s="81"/>
      <c r="M34" s="81"/>
      <c r="N34" s="81">
        <f t="shared" si="1"/>
        <v>3000000</v>
      </c>
      <c r="O34" s="185">
        <v>4</v>
      </c>
      <c r="P34" s="79">
        <f t="shared" si="16"/>
        <v>48</v>
      </c>
      <c r="Q34" s="82">
        <f t="shared" si="17"/>
        <v>10</v>
      </c>
      <c r="R34" s="79">
        <f t="shared" si="18"/>
        <v>120</v>
      </c>
      <c r="S34" s="79">
        <f t="shared" si="19"/>
        <v>7</v>
      </c>
      <c r="T34" s="83">
        <f t="shared" si="20"/>
        <v>2016</v>
      </c>
      <c r="U34" s="84">
        <f t="shared" si="2"/>
        <v>6</v>
      </c>
      <c r="V34" s="85">
        <f t="shared" si="3"/>
        <v>2026</v>
      </c>
      <c r="W34" s="86">
        <f t="shared" si="21"/>
        <v>62500</v>
      </c>
      <c r="X34" s="81">
        <v>23026.315789473683</v>
      </c>
      <c r="Y34" s="88">
        <v>54</v>
      </c>
      <c r="Z34" s="87">
        <v>12</v>
      </c>
      <c r="AA34" s="88">
        <f t="shared" si="4"/>
        <v>276315.78947368421</v>
      </c>
      <c r="AB34" s="88">
        <v>2032894.7368421056</v>
      </c>
      <c r="AC34" s="88">
        <f t="shared" si="5"/>
        <v>967105.26315789437</v>
      </c>
      <c r="AD34" s="88">
        <f t="shared" si="6"/>
        <v>42</v>
      </c>
      <c r="AE34" s="87">
        <v>12</v>
      </c>
      <c r="AF34" s="88">
        <f t="shared" si="7"/>
        <v>276315.78947368421</v>
      </c>
      <c r="AG34" s="88">
        <f t="shared" si="8"/>
        <v>2309210.5263157897</v>
      </c>
      <c r="AH34" s="88">
        <f t="shared" si="9"/>
        <v>690789.47368421033</v>
      </c>
      <c r="AI34" s="88">
        <f t="shared" si="10"/>
        <v>30</v>
      </c>
      <c r="AJ34" s="87">
        <v>12</v>
      </c>
      <c r="AK34" s="88">
        <f t="shared" si="22"/>
        <v>276315.78947368421</v>
      </c>
      <c r="AL34" s="88">
        <f t="shared" si="11"/>
        <v>2585526.3157894737</v>
      </c>
      <c r="AM34" s="88">
        <f t="shared" si="23"/>
        <v>414473.68421052629</v>
      </c>
      <c r="AN34" s="88">
        <f t="shared" si="12"/>
        <v>18</v>
      </c>
      <c r="AO34" s="87">
        <v>12</v>
      </c>
      <c r="AP34" s="88">
        <f t="shared" si="53"/>
        <v>276315.78947368421</v>
      </c>
      <c r="AQ34" s="88">
        <f t="shared" si="13"/>
        <v>2861842.1052631577</v>
      </c>
      <c r="AR34" s="88">
        <f t="shared" si="25"/>
        <v>138157.89473684225</v>
      </c>
      <c r="AS34" s="88">
        <f t="shared" si="14"/>
        <v>6</v>
      </c>
      <c r="AT34" s="87">
        <v>6</v>
      </c>
      <c r="AU34" s="88">
        <f t="shared" si="67"/>
        <v>138157.89473684211</v>
      </c>
      <c r="AV34" s="88">
        <f t="shared" si="15"/>
        <v>3000000</v>
      </c>
      <c r="AW34" s="88">
        <f t="shared" si="27"/>
        <v>0</v>
      </c>
      <c r="AY34" s="202">
        <f t="shared" si="28"/>
        <v>138157.89473684211</v>
      </c>
      <c r="AZ34" s="203">
        <f t="shared" si="55"/>
        <v>23026.315789473683</v>
      </c>
      <c r="BA34" s="203">
        <f t="shared" si="68"/>
        <v>23026.315789473683</v>
      </c>
      <c r="BB34" s="203">
        <f t="shared" si="79"/>
        <v>23026.315789473683</v>
      </c>
      <c r="BC34" s="203">
        <f t="shared" si="89"/>
        <v>23026.315789473683</v>
      </c>
      <c r="BD34" s="203">
        <f t="shared" si="90"/>
        <v>23026.315789473683</v>
      </c>
      <c r="BE34" s="203">
        <f t="shared" ref="BE34:BE40" si="98">+X34*1</f>
        <v>23026.315789473683</v>
      </c>
      <c r="BF34" s="203">
        <f t="shared" ref="BF34:BF35" si="99">+X34*0</f>
        <v>0</v>
      </c>
      <c r="BG34" s="203">
        <f t="shared" ref="BG34:BG35" si="100">+X34*0</f>
        <v>0</v>
      </c>
      <c r="BH34" s="203">
        <f t="shared" ref="BH34:BH35" si="101">+X34*0</f>
        <v>0</v>
      </c>
      <c r="BI34" s="203">
        <f t="shared" ref="BI34:BI35" si="102">+X34*0</f>
        <v>0</v>
      </c>
      <c r="BJ34" s="203">
        <f t="shared" ref="BJ34:BJ35" si="103">+X34*0</f>
        <v>0</v>
      </c>
      <c r="BK34" s="203">
        <f t="shared" ref="BK34:BK35" si="104">+X34*0</f>
        <v>0</v>
      </c>
    </row>
    <row r="35" spans="2:63" x14ac:dyDescent="0.2">
      <c r="B35" s="75"/>
      <c r="C35" s="76">
        <v>42552</v>
      </c>
      <c r="D35" s="77"/>
      <c r="E35" s="78" t="s">
        <v>89</v>
      </c>
      <c r="F35" s="79"/>
      <c r="G35" s="80">
        <v>0.1</v>
      </c>
      <c r="H35" s="81">
        <v>25000000</v>
      </c>
      <c r="I35" s="81"/>
      <c r="J35" s="81"/>
      <c r="K35" s="81">
        <f t="shared" si="0"/>
        <v>25000000</v>
      </c>
      <c r="L35" s="81"/>
      <c r="M35" s="81"/>
      <c r="N35" s="81">
        <f t="shared" si="1"/>
        <v>25000000</v>
      </c>
      <c r="O35" s="185">
        <v>4</v>
      </c>
      <c r="P35" s="79">
        <f t="shared" si="16"/>
        <v>48</v>
      </c>
      <c r="Q35" s="82">
        <f t="shared" si="17"/>
        <v>10</v>
      </c>
      <c r="R35" s="79">
        <f t="shared" si="18"/>
        <v>120</v>
      </c>
      <c r="S35" s="79">
        <f t="shared" si="19"/>
        <v>7</v>
      </c>
      <c r="T35" s="83">
        <f t="shared" si="20"/>
        <v>2016</v>
      </c>
      <c r="U35" s="84">
        <f t="shared" si="2"/>
        <v>6</v>
      </c>
      <c r="V35" s="85">
        <f t="shared" si="3"/>
        <v>2026</v>
      </c>
      <c r="W35" s="86">
        <f t="shared" si="21"/>
        <v>520833.33333333331</v>
      </c>
      <c r="X35" s="81">
        <v>191885.9649122807</v>
      </c>
      <c r="Y35" s="88">
        <v>54</v>
      </c>
      <c r="Z35" s="87">
        <v>12</v>
      </c>
      <c r="AA35" s="88">
        <f t="shared" si="4"/>
        <v>2302631.5789473685</v>
      </c>
      <c r="AB35" s="88">
        <v>16940789.473684214</v>
      </c>
      <c r="AC35" s="88">
        <f t="shared" si="5"/>
        <v>8059210.5263157859</v>
      </c>
      <c r="AD35" s="88">
        <f t="shared" si="6"/>
        <v>42</v>
      </c>
      <c r="AE35" s="87">
        <v>12</v>
      </c>
      <c r="AF35" s="88">
        <f t="shared" si="7"/>
        <v>2302631.5789473685</v>
      </c>
      <c r="AG35" s="88">
        <f t="shared" si="8"/>
        <v>19243421.052631583</v>
      </c>
      <c r="AH35" s="88">
        <f t="shared" si="9"/>
        <v>5756578.9473684169</v>
      </c>
      <c r="AI35" s="88">
        <f t="shared" si="10"/>
        <v>30</v>
      </c>
      <c r="AJ35" s="87">
        <v>12</v>
      </c>
      <c r="AK35" s="88">
        <f t="shared" si="22"/>
        <v>2302631.5789473685</v>
      </c>
      <c r="AL35" s="88">
        <f t="shared" si="11"/>
        <v>21546052.631578952</v>
      </c>
      <c r="AM35" s="88">
        <f t="shared" si="23"/>
        <v>3453947.3684210479</v>
      </c>
      <c r="AN35" s="88">
        <f t="shared" si="12"/>
        <v>18</v>
      </c>
      <c r="AO35" s="87">
        <v>12</v>
      </c>
      <c r="AP35" s="88">
        <f t="shared" si="53"/>
        <v>2302631.5789473685</v>
      </c>
      <c r="AQ35" s="88">
        <f t="shared" si="13"/>
        <v>23848684.210526321</v>
      </c>
      <c r="AR35" s="88">
        <f t="shared" si="25"/>
        <v>1151315.7894736789</v>
      </c>
      <c r="AS35" s="88">
        <f t="shared" si="14"/>
        <v>6</v>
      </c>
      <c r="AT35" s="87">
        <v>6</v>
      </c>
      <c r="AU35" s="88">
        <f t="shared" si="67"/>
        <v>1151315.7894736843</v>
      </c>
      <c r="AV35" s="88">
        <f t="shared" si="15"/>
        <v>25000000.000000004</v>
      </c>
      <c r="AW35" s="88">
        <f t="shared" si="27"/>
        <v>0</v>
      </c>
      <c r="AY35" s="202">
        <f t="shared" si="28"/>
        <v>1151315.7894736843</v>
      </c>
      <c r="AZ35" s="203">
        <f t="shared" si="55"/>
        <v>191885.9649122807</v>
      </c>
      <c r="BA35" s="203">
        <f t="shared" si="68"/>
        <v>191885.9649122807</v>
      </c>
      <c r="BB35" s="203">
        <f t="shared" si="79"/>
        <v>191885.9649122807</v>
      </c>
      <c r="BC35" s="203">
        <f t="shared" si="89"/>
        <v>191885.9649122807</v>
      </c>
      <c r="BD35" s="203">
        <f t="shared" si="90"/>
        <v>191885.9649122807</v>
      </c>
      <c r="BE35" s="203">
        <f t="shared" si="98"/>
        <v>191885.9649122807</v>
      </c>
      <c r="BF35" s="203">
        <f t="shared" si="99"/>
        <v>0</v>
      </c>
      <c r="BG35" s="203">
        <f t="shared" si="100"/>
        <v>0</v>
      </c>
      <c r="BH35" s="203">
        <f t="shared" si="101"/>
        <v>0</v>
      </c>
      <c r="BI35" s="203">
        <f t="shared" si="102"/>
        <v>0</v>
      </c>
      <c r="BJ35" s="203">
        <f t="shared" si="103"/>
        <v>0</v>
      </c>
      <c r="BK35" s="203">
        <f t="shared" si="104"/>
        <v>0</v>
      </c>
    </row>
    <row r="36" spans="2:63" x14ac:dyDescent="0.2">
      <c r="B36" s="75"/>
      <c r="C36" s="76">
        <v>42653</v>
      </c>
      <c r="D36" s="77"/>
      <c r="E36" s="78" t="s">
        <v>90</v>
      </c>
      <c r="F36" s="79"/>
      <c r="G36" s="80">
        <v>0.1</v>
      </c>
      <c r="H36" s="81">
        <v>47000000</v>
      </c>
      <c r="I36" s="81"/>
      <c r="J36" s="81"/>
      <c r="K36" s="81">
        <f t="shared" si="0"/>
        <v>47000000</v>
      </c>
      <c r="L36" s="81"/>
      <c r="M36" s="81"/>
      <c r="N36" s="81">
        <f t="shared" si="1"/>
        <v>47000000</v>
      </c>
      <c r="O36" s="185">
        <v>4</v>
      </c>
      <c r="P36" s="79">
        <f t="shared" si="16"/>
        <v>48</v>
      </c>
      <c r="Q36" s="82">
        <f t="shared" si="17"/>
        <v>10</v>
      </c>
      <c r="R36" s="79">
        <f t="shared" si="18"/>
        <v>120</v>
      </c>
      <c r="S36" s="79">
        <f t="shared" si="19"/>
        <v>10</v>
      </c>
      <c r="T36" s="83">
        <f t="shared" si="20"/>
        <v>2016</v>
      </c>
      <c r="U36" s="84">
        <f t="shared" si="2"/>
        <v>9</v>
      </c>
      <c r="V36" s="85">
        <f t="shared" si="3"/>
        <v>2026</v>
      </c>
      <c r="W36" s="86">
        <f t="shared" si="21"/>
        <v>979166.66666666663</v>
      </c>
      <c r="X36" s="81">
        <v>376602.56410256412</v>
      </c>
      <c r="Y36" s="88">
        <v>57</v>
      </c>
      <c r="Z36" s="87">
        <v>12</v>
      </c>
      <c r="AA36" s="88">
        <f t="shared" si="4"/>
        <v>4519230.7692307699</v>
      </c>
      <c r="AB36" s="88">
        <v>30052884.615384616</v>
      </c>
      <c r="AC36" s="88">
        <f t="shared" si="5"/>
        <v>16947115.384615384</v>
      </c>
      <c r="AD36" s="88">
        <f t="shared" si="6"/>
        <v>45</v>
      </c>
      <c r="AE36" s="87">
        <v>12</v>
      </c>
      <c r="AF36" s="88">
        <f t="shared" si="7"/>
        <v>4519230.7692307699</v>
      </c>
      <c r="AG36" s="88">
        <f t="shared" si="8"/>
        <v>34572115.384615384</v>
      </c>
      <c r="AH36" s="88">
        <f t="shared" si="9"/>
        <v>12427884.615384616</v>
      </c>
      <c r="AI36" s="88">
        <f t="shared" si="10"/>
        <v>33</v>
      </c>
      <c r="AJ36" s="87">
        <v>12</v>
      </c>
      <c r="AK36" s="88">
        <f t="shared" si="22"/>
        <v>4519230.7692307699</v>
      </c>
      <c r="AL36" s="88">
        <f t="shared" si="11"/>
        <v>39091346.153846152</v>
      </c>
      <c r="AM36" s="88">
        <f t="shared" si="23"/>
        <v>7908653.8461538479</v>
      </c>
      <c r="AN36" s="88">
        <f t="shared" si="12"/>
        <v>21</v>
      </c>
      <c r="AO36" s="87">
        <v>12</v>
      </c>
      <c r="AP36" s="88">
        <f t="shared" si="53"/>
        <v>4519230.7692307699</v>
      </c>
      <c r="AQ36" s="88">
        <f t="shared" si="13"/>
        <v>43610576.92307692</v>
      </c>
      <c r="AR36" s="88">
        <f t="shared" si="25"/>
        <v>3389423.0769230798</v>
      </c>
      <c r="AS36" s="88">
        <f t="shared" si="14"/>
        <v>9</v>
      </c>
      <c r="AT36" s="87">
        <v>9</v>
      </c>
      <c r="AU36" s="88">
        <f t="shared" si="67"/>
        <v>3389423.076923077</v>
      </c>
      <c r="AV36" s="88">
        <f t="shared" si="15"/>
        <v>47000000</v>
      </c>
      <c r="AW36" s="88">
        <f t="shared" si="27"/>
        <v>0</v>
      </c>
      <c r="AY36" s="202">
        <f t="shared" si="28"/>
        <v>3389423.0769230765</v>
      </c>
      <c r="AZ36" s="203">
        <f t="shared" si="55"/>
        <v>376602.56410256412</v>
      </c>
      <c r="BA36" s="203">
        <f t="shared" si="68"/>
        <v>376602.56410256412</v>
      </c>
      <c r="BB36" s="203">
        <f t="shared" si="79"/>
        <v>376602.56410256412</v>
      </c>
      <c r="BC36" s="203">
        <f t="shared" si="89"/>
        <v>376602.56410256412</v>
      </c>
      <c r="BD36" s="203">
        <f t="shared" si="90"/>
        <v>376602.56410256412</v>
      </c>
      <c r="BE36" s="203">
        <f t="shared" si="98"/>
        <v>376602.56410256412</v>
      </c>
      <c r="BF36" s="203">
        <f t="shared" ref="BF36:BF40" si="105">+X36*1</f>
        <v>376602.56410256412</v>
      </c>
      <c r="BG36" s="203">
        <f t="shared" ref="BG36:BG40" si="106">+X36*1</f>
        <v>376602.56410256412</v>
      </c>
      <c r="BH36" s="203">
        <f t="shared" ref="BH36:BH40" si="107">+X36*1</f>
        <v>376602.56410256412</v>
      </c>
      <c r="BI36" s="203">
        <f t="shared" ref="BI36:BI39" si="108">+X36*0</f>
        <v>0</v>
      </c>
      <c r="BJ36" s="203">
        <f t="shared" ref="BJ36:BJ39" si="109">+X36*0</f>
        <v>0</v>
      </c>
      <c r="BK36" s="203">
        <f t="shared" ref="BK36:BK39" si="110">+X36*0</f>
        <v>0</v>
      </c>
    </row>
    <row r="37" spans="2:63" x14ac:dyDescent="0.2">
      <c r="B37" s="75"/>
      <c r="C37" s="76">
        <v>42650</v>
      </c>
      <c r="D37" s="77"/>
      <c r="E37" s="78" t="s">
        <v>91</v>
      </c>
      <c r="F37" s="79"/>
      <c r="G37" s="80">
        <v>0.1</v>
      </c>
      <c r="H37" s="81">
        <v>7200000</v>
      </c>
      <c r="I37" s="81"/>
      <c r="J37" s="81"/>
      <c r="K37" s="81">
        <f t="shared" si="0"/>
        <v>7200000</v>
      </c>
      <c r="L37" s="81"/>
      <c r="M37" s="81"/>
      <c r="N37" s="81">
        <f t="shared" si="1"/>
        <v>7200000</v>
      </c>
      <c r="O37" s="185">
        <v>4</v>
      </c>
      <c r="P37" s="79">
        <f t="shared" si="16"/>
        <v>48</v>
      </c>
      <c r="Q37" s="82">
        <f t="shared" si="17"/>
        <v>10</v>
      </c>
      <c r="R37" s="79">
        <f t="shared" si="18"/>
        <v>120</v>
      </c>
      <c r="S37" s="79">
        <f t="shared" si="19"/>
        <v>10</v>
      </c>
      <c r="T37" s="83">
        <f t="shared" si="20"/>
        <v>2016</v>
      </c>
      <c r="U37" s="84">
        <f t="shared" si="2"/>
        <v>9</v>
      </c>
      <c r="V37" s="85">
        <f t="shared" si="3"/>
        <v>2026</v>
      </c>
      <c r="W37" s="86">
        <f t="shared" si="21"/>
        <v>150000</v>
      </c>
      <c r="X37" s="81">
        <v>57692.307692307695</v>
      </c>
      <c r="Y37" s="88">
        <v>57</v>
      </c>
      <c r="Z37" s="87">
        <v>12</v>
      </c>
      <c r="AA37" s="88">
        <f t="shared" si="4"/>
        <v>692307.69230769237</v>
      </c>
      <c r="AB37" s="88">
        <v>4603846.1538461549</v>
      </c>
      <c r="AC37" s="88">
        <f t="shared" si="5"/>
        <v>2596153.8461538451</v>
      </c>
      <c r="AD37" s="88">
        <f t="shared" si="6"/>
        <v>45</v>
      </c>
      <c r="AE37" s="87">
        <v>12</v>
      </c>
      <c r="AF37" s="88">
        <f t="shared" si="7"/>
        <v>692307.69230769237</v>
      </c>
      <c r="AG37" s="88">
        <f t="shared" si="8"/>
        <v>5296153.8461538469</v>
      </c>
      <c r="AH37" s="88">
        <f t="shared" si="9"/>
        <v>1903846.1538461531</v>
      </c>
      <c r="AI37" s="88">
        <f t="shared" si="10"/>
        <v>33</v>
      </c>
      <c r="AJ37" s="87">
        <v>12</v>
      </c>
      <c r="AK37" s="88">
        <f t="shared" si="22"/>
        <v>692307.69230769237</v>
      </c>
      <c r="AL37" s="88">
        <f t="shared" si="11"/>
        <v>5988461.538461539</v>
      </c>
      <c r="AM37" s="88">
        <f t="shared" si="23"/>
        <v>1211538.461538461</v>
      </c>
      <c r="AN37" s="88">
        <f t="shared" si="12"/>
        <v>21</v>
      </c>
      <c r="AO37" s="87">
        <v>12</v>
      </c>
      <c r="AP37" s="88">
        <f t="shared" si="53"/>
        <v>692307.69230769237</v>
      </c>
      <c r="AQ37" s="88">
        <f t="shared" si="13"/>
        <v>6680769.230769231</v>
      </c>
      <c r="AR37" s="88">
        <f t="shared" si="25"/>
        <v>519230.76923076902</v>
      </c>
      <c r="AS37" s="88">
        <f t="shared" si="14"/>
        <v>9</v>
      </c>
      <c r="AT37" s="87">
        <v>9</v>
      </c>
      <c r="AU37" s="88">
        <f t="shared" si="67"/>
        <v>519230.76923076925</v>
      </c>
      <c r="AV37" s="88">
        <f t="shared" si="15"/>
        <v>7200000</v>
      </c>
      <c r="AW37" s="88">
        <f t="shared" si="27"/>
        <v>0</v>
      </c>
      <c r="AY37" s="202">
        <f t="shared" si="28"/>
        <v>519230.76923076925</v>
      </c>
      <c r="AZ37" s="203">
        <f t="shared" si="55"/>
        <v>57692.307692307695</v>
      </c>
      <c r="BA37" s="203">
        <f t="shared" si="68"/>
        <v>57692.307692307695</v>
      </c>
      <c r="BB37" s="203">
        <f t="shared" si="79"/>
        <v>57692.307692307695</v>
      </c>
      <c r="BC37" s="203">
        <f t="shared" si="89"/>
        <v>57692.307692307695</v>
      </c>
      <c r="BD37" s="203">
        <f t="shared" si="90"/>
        <v>57692.307692307695</v>
      </c>
      <c r="BE37" s="203">
        <f t="shared" si="98"/>
        <v>57692.307692307695</v>
      </c>
      <c r="BF37" s="203">
        <f t="shared" si="105"/>
        <v>57692.307692307695</v>
      </c>
      <c r="BG37" s="203">
        <f t="shared" si="106"/>
        <v>57692.307692307695</v>
      </c>
      <c r="BH37" s="203">
        <f t="shared" si="107"/>
        <v>57692.307692307695</v>
      </c>
      <c r="BI37" s="203">
        <f t="shared" si="108"/>
        <v>0</v>
      </c>
      <c r="BJ37" s="203">
        <f t="shared" si="109"/>
        <v>0</v>
      </c>
      <c r="BK37" s="203">
        <f t="shared" si="110"/>
        <v>0</v>
      </c>
    </row>
    <row r="38" spans="2:63" x14ac:dyDescent="0.2">
      <c r="B38" s="75"/>
      <c r="C38" s="76">
        <v>42650</v>
      </c>
      <c r="D38" s="77"/>
      <c r="E38" s="78" t="s">
        <v>92</v>
      </c>
      <c r="F38" s="79"/>
      <c r="G38" s="80">
        <v>0.1</v>
      </c>
      <c r="H38" s="81">
        <v>7935000</v>
      </c>
      <c r="I38" s="81"/>
      <c r="J38" s="81"/>
      <c r="K38" s="81">
        <f t="shared" si="0"/>
        <v>7935000</v>
      </c>
      <c r="L38" s="81"/>
      <c r="M38" s="81"/>
      <c r="N38" s="81">
        <f t="shared" si="1"/>
        <v>7935000</v>
      </c>
      <c r="O38" s="185">
        <v>4</v>
      </c>
      <c r="P38" s="79">
        <f t="shared" si="16"/>
        <v>48</v>
      </c>
      <c r="Q38" s="82">
        <f t="shared" si="17"/>
        <v>10</v>
      </c>
      <c r="R38" s="79">
        <f t="shared" si="18"/>
        <v>120</v>
      </c>
      <c r="S38" s="79">
        <f t="shared" si="19"/>
        <v>10</v>
      </c>
      <c r="T38" s="83">
        <f t="shared" si="20"/>
        <v>2016</v>
      </c>
      <c r="U38" s="84">
        <f t="shared" si="2"/>
        <v>9</v>
      </c>
      <c r="V38" s="85">
        <f t="shared" si="3"/>
        <v>2026</v>
      </c>
      <c r="W38" s="86">
        <f t="shared" si="21"/>
        <v>165312.5</v>
      </c>
      <c r="X38" s="81">
        <v>63581.730769230766</v>
      </c>
      <c r="Y38" s="88">
        <v>57</v>
      </c>
      <c r="Z38" s="87">
        <v>12</v>
      </c>
      <c r="AA38" s="88">
        <f t="shared" si="4"/>
        <v>762980.76923076925</v>
      </c>
      <c r="AB38" s="88">
        <v>5073822.115384615</v>
      </c>
      <c r="AC38" s="88">
        <f t="shared" si="5"/>
        <v>2861177.884615385</v>
      </c>
      <c r="AD38" s="88">
        <f t="shared" si="6"/>
        <v>45</v>
      </c>
      <c r="AE38" s="87">
        <v>12</v>
      </c>
      <c r="AF38" s="88">
        <f t="shared" si="7"/>
        <v>762980.76923076925</v>
      </c>
      <c r="AG38" s="88">
        <f t="shared" si="8"/>
        <v>5836802.884615384</v>
      </c>
      <c r="AH38" s="88">
        <f t="shared" si="9"/>
        <v>2098197.115384616</v>
      </c>
      <c r="AI38" s="88">
        <f t="shared" si="10"/>
        <v>33</v>
      </c>
      <c r="AJ38" s="87">
        <v>12</v>
      </c>
      <c r="AK38" s="88">
        <f t="shared" si="22"/>
        <v>762980.76923076925</v>
      </c>
      <c r="AL38" s="88">
        <f t="shared" si="11"/>
        <v>6599783.6538461531</v>
      </c>
      <c r="AM38" s="88">
        <f t="shared" si="23"/>
        <v>1335216.3461538469</v>
      </c>
      <c r="AN38" s="88">
        <f t="shared" si="12"/>
        <v>21</v>
      </c>
      <c r="AO38" s="87">
        <v>12</v>
      </c>
      <c r="AP38" s="88">
        <f t="shared" si="53"/>
        <v>762980.76923076925</v>
      </c>
      <c r="AQ38" s="88">
        <f t="shared" si="13"/>
        <v>7362764.4230769221</v>
      </c>
      <c r="AR38" s="88">
        <f t="shared" si="25"/>
        <v>572235.57692307793</v>
      </c>
      <c r="AS38" s="88">
        <f t="shared" si="14"/>
        <v>9</v>
      </c>
      <c r="AT38" s="87">
        <v>9</v>
      </c>
      <c r="AU38" s="88">
        <f t="shared" si="67"/>
        <v>572235.57692307688</v>
      </c>
      <c r="AV38" s="88">
        <f t="shared" si="15"/>
        <v>7934999.9999999991</v>
      </c>
      <c r="AW38" s="88">
        <f t="shared" si="27"/>
        <v>0</v>
      </c>
      <c r="AY38" s="202">
        <f t="shared" si="28"/>
        <v>572235.57692307688</v>
      </c>
      <c r="AZ38" s="203">
        <f t="shared" si="55"/>
        <v>63581.730769230766</v>
      </c>
      <c r="BA38" s="203">
        <f t="shared" si="68"/>
        <v>63581.730769230766</v>
      </c>
      <c r="BB38" s="203">
        <f t="shared" si="79"/>
        <v>63581.730769230766</v>
      </c>
      <c r="BC38" s="203">
        <f t="shared" si="89"/>
        <v>63581.730769230766</v>
      </c>
      <c r="BD38" s="203">
        <f t="shared" si="90"/>
        <v>63581.730769230766</v>
      </c>
      <c r="BE38" s="203">
        <f t="shared" si="98"/>
        <v>63581.730769230766</v>
      </c>
      <c r="BF38" s="203">
        <f t="shared" si="105"/>
        <v>63581.730769230766</v>
      </c>
      <c r="BG38" s="203">
        <f t="shared" si="106"/>
        <v>63581.730769230766</v>
      </c>
      <c r="BH38" s="203">
        <f t="shared" si="107"/>
        <v>63581.730769230766</v>
      </c>
      <c r="BI38" s="203">
        <f t="shared" si="108"/>
        <v>0</v>
      </c>
      <c r="BJ38" s="203">
        <f t="shared" si="109"/>
        <v>0</v>
      </c>
      <c r="BK38" s="203">
        <f t="shared" si="110"/>
        <v>0</v>
      </c>
    </row>
    <row r="39" spans="2:63" x14ac:dyDescent="0.2">
      <c r="B39" s="75"/>
      <c r="C39" s="76">
        <v>42670</v>
      </c>
      <c r="D39" s="77"/>
      <c r="E39" s="78" t="s">
        <v>93</v>
      </c>
      <c r="F39" s="79"/>
      <c r="G39" s="80">
        <v>0.1</v>
      </c>
      <c r="H39" s="81">
        <v>16095000</v>
      </c>
      <c r="I39" s="81"/>
      <c r="J39" s="81"/>
      <c r="K39" s="81">
        <f t="shared" si="0"/>
        <v>16095000</v>
      </c>
      <c r="L39" s="81"/>
      <c r="M39" s="81"/>
      <c r="N39" s="81">
        <f t="shared" si="1"/>
        <v>16095000</v>
      </c>
      <c r="O39" s="185">
        <v>4</v>
      </c>
      <c r="P39" s="79">
        <f t="shared" si="16"/>
        <v>48</v>
      </c>
      <c r="Q39" s="82">
        <f t="shared" si="17"/>
        <v>10</v>
      </c>
      <c r="R39" s="79">
        <f t="shared" si="18"/>
        <v>120</v>
      </c>
      <c r="S39" s="79">
        <f t="shared" si="19"/>
        <v>10</v>
      </c>
      <c r="T39" s="83">
        <f t="shared" si="20"/>
        <v>2016</v>
      </c>
      <c r="U39" s="84">
        <f t="shared" si="2"/>
        <v>9</v>
      </c>
      <c r="V39" s="85">
        <f t="shared" si="3"/>
        <v>2026</v>
      </c>
      <c r="W39" s="86">
        <f t="shared" si="21"/>
        <v>335312.5</v>
      </c>
      <c r="X39" s="81">
        <v>128966.34615384616</v>
      </c>
      <c r="Y39" s="88">
        <v>57</v>
      </c>
      <c r="Z39" s="87">
        <v>12</v>
      </c>
      <c r="AA39" s="88">
        <f t="shared" si="4"/>
        <v>1547596.153846154</v>
      </c>
      <c r="AB39" s="88">
        <v>10291514.423076924</v>
      </c>
      <c r="AC39" s="88">
        <f t="shared" si="5"/>
        <v>5803485.5769230761</v>
      </c>
      <c r="AD39" s="88">
        <f t="shared" si="6"/>
        <v>45</v>
      </c>
      <c r="AE39" s="87">
        <v>12</v>
      </c>
      <c r="AF39" s="88">
        <f t="shared" si="7"/>
        <v>1547596.153846154</v>
      </c>
      <c r="AG39" s="88">
        <f t="shared" si="8"/>
        <v>11839110.576923078</v>
      </c>
      <c r="AH39" s="88">
        <f t="shared" si="9"/>
        <v>4255889.4230769221</v>
      </c>
      <c r="AI39" s="88">
        <f t="shared" si="10"/>
        <v>33</v>
      </c>
      <c r="AJ39" s="87">
        <v>12</v>
      </c>
      <c r="AK39" s="88">
        <f t="shared" si="22"/>
        <v>1547596.153846154</v>
      </c>
      <c r="AL39" s="88">
        <f t="shared" si="11"/>
        <v>13386706.730769232</v>
      </c>
      <c r="AM39" s="88">
        <f t="shared" si="23"/>
        <v>2708293.2692307681</v>
      </c>
      <c r="AN39" s="88">
        <f t="shared" si="12"/>
        <v>21</v>
      </c>
      <c r="AO39" s="87">
        <v>12</v>
      </c>
      <c r="AP39" s="88">
        <f t="shared" si="53"/>
        <v>1547596.153846154</v>
      </c>
      <c r="AQ39" s="88">
        <f t="shared" si="13"/>
        <v>14934302.884615386</v>
      </c>
      <c r="AR39" s="88">
        <f t="shared" si="25"/>
        <v>1160697.1153846141</v>
      </c>
      <c r="AS39" s="88">
        <f t="shared" si="14"/>
        <v>9</v>
      </c>
      <c r="AT39" s="87">
        <v>9</v>
      </c>
      <c r="AU39" s="88">
        <f t="shared" si="67"/>
        <v>1160697.1153846155</v>
      </c>
      <c r="AV39" s="88">
        <f t="shared" si="15"/>
        <v>16095000.000000002</v>
      </c>
      <c r="AW39" s="88">
        <f t="shared" si="27"/>
        <v>0</v>
      </c>
      <c r="AY39" s="202">
        <f t="shared" si="28"/>
        <v>1160697.1153846153</v>
      </c>
      <c r="AZ39" s="203">
        <f t="shared" si="55"/>
        <v>128966.34615384616</v>
      </c>
      <c r="BA39" s="203">
        <f t="shared" si="68"/>
        <v>128966.34615384616</v>
      </c>
      <c r="BB39" s="203">
        <f t="shared" si="79"/>
        <v>128966.34615384616</v>
      </c>
      <c r="BC39" s="203">
        <f t="shared" si="89"/>
        <v>128966.34615384616</v>
      </c>
      <c r="BD39" s="203">
        <f t="shared" si="90"/>
        <v>128966.34615384616</v>
      </c>
      <c r="BE39" s="203">
        <f t="shared" si="98"/>
        <v>128966.34615384616</v>
      </c>
      <c r="BF39" s="203">
        <f t="shared" si="105"/>
        <v>128966.34615384616</v>
      </c>
      <c r="BG39" s="203">
        <f t="shared" si="106"/>
        <v>128966.34615384616</v>
      </c>
      <c r="BH39" s="203">
        <f t="shared" si="107"/>
        <v>128966.34615384616</v>
      </c>
      <c r="BI39" s="203">
        <f t="shared" si="108"/>
        <v>0</v>
      </c>
      <c r="BJ39" s="203">
        <f t="shared" si="109"/>
        <v>0</v>
      </c>
      <c r="BK39" s="203">
        <f t="shared" si="110"/>
        <v>0</v>
      </c>
    </row>
    <row r="40" spans="2:63" x14ac:dyDescent="0.2">
      <c r="B40" s="75"/>
      <c r="C40" s="76">
        <v>42685</v>
      </c>
      <c r="D40" s="77"/>
      <c r="E40" s="78" t="s">
        <v>94</v>
      </c>
      <c r="F40" s="79"/>
      <c r="G40" s="80">
        <v>0.1</v>
      </c>
      <c r="H40" s="81">
        <v>8300000</v>
      </c>
      <c r="I40" s="81"/>
      <c r="J40" s="81"/>
      <c r="K40" s="81">
        <f t="shared" si="0"/>
        <v>8300000</v>
      </c>
      <c r="L40" s="81"/>
      <c r="M40" s="81"/>
      <c r="N40" s="81">
        <f t="shared" si="1"/>
        <v>8300000</v>
      </c>
      <c r="O40" s="185">
        <v>4</v>
      </c>
      <c r="P40" s="79">
        <f t="shared" si="16"/>
        <v>48</v>
      </c>
      <c r="Q40" s="82">
        <f t="shared" si="17"/>
        <v>10</v>
      </c>
      <c r="R40" s="79">
        <f t="shared" si="18"/>
        <v>120</v>
      </c>
      <c r="S40" s="79">
        <f t="shared" si="19"/>
        <v>11</v>
      </c>
      <c r="T40" s="83">
        <f t="shared" si="20"/>
        <v>2016</v>
      </c>
      <c r="U40" s="84">
        <f t="shared" si="2"/>
        <v>10</v>
      </c>
      <c r="V40" s="85">
        <f t="shared" si="3"/>
        <v>2026</v>
      </c>
      <c r="W40" s="86">
        <f t="shared" si="21"/>
        <v>172916.66666666666</v>
      </c>
      <c r="X40" s="81">
        <v>67408.192090395489</v>
      </c>
      <c r="Y40" s="88">
        <v>58</v>
      </c>
      <c r="Z40" s="87">
        <v>12</v>
      </c>
      <c r="AA40" s="88">
        <f t="shared" si="4"/>
        <v>808898.30508474587</v>
      </c>
      <c r="AB40" s="88">
        <v>5199223.1638418082</v>
      </c>
      <c r="AC40" s="88">
        <f t="shared" si="5"/>
        <v>3100776.8361581918</v>
      </c>
      <c r="AD40" s="88">
        <f t="shared" si="6"/>
        <v>46</v>
      </c>
      <c r="AE40" s="87">
        <v>12</v>
      </c>
      <c r="AF40" s="88">
        <f t="shared" si="7"/>
        <v>808898.30508474587</v>
      </c>
      <c r="AG40" s="88">
        <f t="shared" si="8"/>
        <v>6008121.4689265545</v>
      </c>
      <c r="AH40" s="88">
        <f t="shared" si="9"/>
        <v>2291878.5310734455</v>
      </c>
      <c r="AI40" s="88">
        <f t="shared" si="10"/>
        <v>34</v>
      </c>
      <c r="AJ40" s="87">
        <v>12</v>
      </c>
      <c r="AK40" s="88">
        <f t="shared" si="22"/>
        <v>808898.30508474587</v>
      </c>
      <c r="AL40" s="88">
        <f t="shared" si="11"/>
        <v>6817019.7740113009</v>
      </c>
      <c r="AM40" s="88">
        <f t="shared" si="23"/>
        <v>1482980.2259886991</v>
      </c>
      <c r="AN40" s="88">
        <f t="shared" si="12"/>
        <v>22</v>
      </c>
      <c r="AO40" s="87">
        <v>12</v>
      </c>
      <c r="AP40" s="88">
        <f t="shared" si="53"/>
        <v>808898.30508474587</v>
      </c>
      <c r="AQ40" s="88">
        <f t="shared" si="13"/>
        <v>7625918.0790960472</v>
      </c>
      <c r="AR40" s="88">
        <f t="shared" si="25"/>
        <v>674081.92090395279</v>
      </c>
      <c r="AS40" s="88">
        <f t="shared" si="14"/>
        <v>10</v>
      </c>
      <c r="AT40" s="87">
        <v>10</v>
      </c>
      <c r="AU40" s="88">
        <f t="shared" si="67"/>
        <v>674081.92090395489</v>
      </c>
      <c r="AV40" s="88">
        <f t="shared" si="15"/>
        <v>8300000.0000000019</v>
      </c>
      <c r="AW40" s="88">
        <f t="shared" si="27"/>
        <v>0</v>
      </c>
      <c r="AY40" s="202">
        <f t="shared" si="28"/>
        <v>674081.92090395489</v>
      </c>
      <c r="AZ40" s="203">
        <f t="shared" si="55"/>
        <v>67408.192090395489</v>
      </c>
      <c r="BA40" s="203">
        <f t="shared" si="68"/>
        <v>67408.192090395489</v>
      </c>
      <c r="BB40" s="203">
        <f t="shared" si="79"/>
        <v>67408.192090395489</v>
      </c>
      <c r="BC40" s="203">
        <f t="shared" si="89"/>
        <v>67408.192090395489</v>
      </c>
      <c r="BD40" s="203">
        <f t="shared" si="90"/>
        <v>67408.192090395489</v>
      </c>
      <c r="BE40" s="203">
        <f t="shared" si="98"/>
        <v>67408.192090395489</v>
      </c>
      <c r="BF40" s="203">
        <f t="shared" si="105"/>
        <v>67408.192090395489</v>
      </c>
      <c r="BG40" s="203">
        <f t="shared" si="106"/>
        <v>67408.192090395489</v>
      </c>
      <c r="BH40" s="203">
        <f t="shared" si="107"/>
        <v>67408.192090395489</v>
      </c>
      <c r="BI40" s="203">
        <f t="shared" ref="BI40" si="111">+X40*1</f>
        <v>67408.192090395489</v>
      </c>
      <c r="BJ40" s="203">
        <f t="shared" ref="BJ40" si="112">+X40*0</f>
        <v>0</v>
      </c>
      <c r="BK40" s="203">
        <f t="shared" ref="BK40" si="113">+X40*0</f>
        <v>0</v>
      </c>
    </row>
    <row r="41" spans="2:63" x14ac:dyDescent="0.2">
      <c r="B41" s="68"/>
      <c r="C41" s="89"/>
      <c r="D41" s="70"/>
      <c r="E41" s="71"/>
      <c r="F41" s="72"/>
      <c r="G41" s="90"/>
      <c r="H41" s="74"/>
      <c r="I41" s="74"/>
      <c r="J41" s="74"/>
      <c r="K41" s="74"/>
      <c r="L41" s="74"/>
      <c r="M41" s="74"/>
      <c r="N41" s="74"/>
      <c r="O41" s="186"/>
      <c r="P41" s="72"/>
      <c r="Q41" s="91"/>
      <c r="R41" s="72"/>
      <c r="S41" s="72"/>
      <c r="T41" s="92"/>
      <c r="U41" s="93"/>
      <c r="V41" s="94"/>
      <c r="W41" s="95"/>
      <c r="X41" s="96"/>
      <c r="Y41" s="96"/>
      <c r="Z41" s="73"/>
      <c r="AA41" s="96"/>
      <c r="AB41" s="96"/>
      <c r="AC41" s="96"/>
      <c r="AD41" s="96"/>
      <c r="AE41" s="73"/>
      <c r="AF41" s="96"/>
      <c r="AG41" s="96"/>
      <c r="AH41" s="96"/>
      <c r="AI41" s="96"/>
      <c r="AJ41" s="73"/>
      <c r="AK41" s="96"/>
      <c r="AL41" s="96"/>
      <c r="AM41" s="96"/>
      <c r="AN41" s="96"/>
      <c r="AO41" s="73"/>
      <c r="AP41" s="96"/>
      <c r="AQ41" s="96"/>
      <c r="AR41" s="96"/>
      <c r="AS41" s="96"/>
      <c r="AT41" s="73"/>
      <c r="AU41" s="96"/>
      <c r="AV41" s="96"/>
      <c r="AW41" s="96"/>
      <c r="AY41" s="196"/>
    </row>
    <row r="42" spans="2:63" s="11" customFormat="1" x14ac:dyDescent="0.2">
      <c r="B42" s="97"/>
      <c r="C42" s="98">
        <v>43158</v>
      </c>
      <c r="D42" s="99" t="s">
        <v>95</v>
      </c>
      <c r="E42" s="100" t="s">
        <v>96</v>
      </c>
      <c r="F42" s="101"/>
      <c r="G42" s="102">
        <v>0.1</v>
      </c>
      <c r="H42" s="103">
        <v>56400000</v>
      </c>
      <c r="I42" s="103"/>
      <c r="J42" s="103"/>
      <c r="K42" s="103">
        <f t="shared" si="0"/>
        <v>56400000</v>
      </c>
      <c r="L42" s="103"/>
      <c r="M42" s="103"/>
      <c r="N42" s="103">
        <f t="shared" si="1"/>
        <v>56400000</v>
      </c>
      <c r="O42" s="187"/>
      <c r="P42" s="101"/>
      <c r="Q42" s="104">
        <f t="shared" ref="Q42:Q47" si="114">100%/G42</f>
        <v>10</v>
      </c>
      <c r="R42" s="101">
        <f t="shared" ref="R42:R47" si="115">Q42*12</f>
        <v>120</v>
      </c>
      <c r="S42" s="101">
        <f t="shared" ref="S42:S47" si="116">MONTH(C42)</f>
        <v>2</v>
      </c>
      <c r="T42" s="105">
        <f t="shared" ref="T42:T47" si="117">YEAR(C42)</f>
        <v>2018</v>
      </c>
      <c r="U42" s="106">
        <f t="shared" ref="U42:U47" si="118">IF(S42=1, 12, S42-1)</f>
        <v>1</v>
      </c>
      <c r="V42" s="107">
        <f t="shared" ref="V42:V47" si="119">IF(S42=1,T42+Q42-1,T42+Q42)</f>
        <v>2028</v>
      </c>
      <c r="W42" s="108"/>
      <c r="X42" s="110">
        <f>N42/R42</f>
        <v>470000</v>
      </c>
      <c r="Y42" s="194">
        <v>73</v>
      </c>
      <c r="Z42" s="195">
        <v>12</v>
      </c>
      <c r="AA42" s="194">
        <f t="shared" ref="AA42:AA47" si="120">Z42*X42</f>
        <v>5640000</v>
      </c>
      <c r="AB42" s="194">
        <v>27730000</v>
      </c>
      <c r="AC42" s="194">
        <f t="shared" ref="AC42:AC47" si="121">N42-AB42</f>
        <v>28670000</v>
      </c>
      <c r="AD42" s="194">
        <f t="shared" ref="AD42:AD47" si="122">+Y42-Z42</f>
        <v>61</v>
      </c>
      <c r="AE42" s="195">
        <v>12</v>
      </c>
      <c r="AF42" s="194">
        <f t="shared" ref="AF42:AF47" si="123">AE42*X42</f>
        <v>5640000</v>
      </c>
      <c r="AG42" s="194">
        <f t="shared" ref="AG42:AG47" si="124">+AB42+AF42</f>
        <v>33370000</v>
      </c>
      <c r="AH42" s="194">
        <f t="shared" ref="AH42:AH47" si="125">N42-AG42</f>
        <v>23030000</v>
      </c>
      <c r="AI42" s="194">
        <f t="shared" ref="AI42:AI47" si="126">+AD42-AE42</f>
        <v>49</v>
      </c>
      <c r="AJ42" s="195">
        <v>12</v>
      </c>
      <c r="AK42" s="194">
        <f>AJ42*X42</f>
        <v>5640000</v>
      </c>
      <c r="AL42" s="194">
        <f t="shared" ref="AL42:AL47" si="127">+AG42+AK42</f>
        <v>39010000</v>
      </c>
      <c r="AM42" s="194">
        <f>N42-AL42</f>
        <v>17390000</v>
      </c>
      <c r="AN42" s="194">
        <f t="shared" ref="AN42:AN47" si="128">+AI42-AJ42</f>
        <v>37</v>
      </c>
      <c r="AO42" s="195">
        <v>12</v>
      </c>
      <c r="AP42" s="194">
        <f>AO42*X42</f>
        <v>5640000</v>
      </c>
      <c r="AQ42" s="194">
        <f t="shared" ref="AQ42:AQ47" si="129">+AL42+AP42</f>
        <v>44650000</v>
      </c>
      <c r="AR42" s="194">
        <f>N42-AQ42</f>
        <v>11750000</v>
      </c>
      <c r="AS42" s="194">
        <f t="shared" ref="AS42:AS47" si="130">+AN42-AO42</f>
        <v>25</v>
      </c>
      <c r="AT42" s="195">
        <v>12</v>
      </c>
      <c r="AU42" s="194">
        <f>AT42*X42</f>
        <v>5640000</v>
      </c>
      <c r="AV42" s="194">
        <f t="shared" ref="AV42:AV47" si="131">+AQ42+AU42</f>
        <v>50290000</v>
      </c>
      <c r="AW42" s="194">
        <f>N42-AV42</f>
        <v>6110000</v>
      </c>
      <c r="AY42" s="202">
        <f t="shared" ref="AY42:AY50" si="132">SUM(AZ42:BK42)</f>
        <v>5640000</v>
      </c>
      <c r="AZ42" s="203">
        <f t="shared" ref="AZ42:AZ47" si="133">+X42*1</f>
        <v>470000</v>
      </c>
      <c r="BA42" s="203">
        <f t="shared" ref="BA42:BA47" si="134">+X42*1</f>
        <v>470000</v>
      </c>
      <c r="BB42" s="203">
        <f t="shared" ref="BB42:BB47" si="135">+X42*1</f>
        <v>470000</v>
      </c>
      <c r="BC42" s="203">
        <f t="shared" ref="BC42:BC47" si="136">+X42*1</f>
        <v>470000</v>
      </c>
      <c r="BD42" s="203">
        <f t="shared" ref="BD42:BD47" si="137">+X42*1</f>
        <v>470000</v>
      </c>
      <c r="BE42" s="203">
        <f t="shared" ref="BE42:BE47" si="138">+X42*1</f>
        <v>470000</v>
      </c>
      <c r="BF42" s="203">
        <f t="shared" ref="BF42:BF47" si="139">+X42*1</f>
        <v>470000</v>
      </c>
      <c r="BG42" s="203">
        <f t="shared" ref="BG42:BG47" si="140">+X42*1</f>
        <v>470000</v>
      </c>
      <c r="BH42" s="203">
        <f t="shared" ref="BH42:BH47" si="141">+X42*1</f>
        <v>470000</v>
      </c>
      <c r="BI42" s="203">
        <f t="shared" ref="BI42:BI47" si="142">+X42*1</f>
        <v>470000</v>
      </c>
      <c r="BJ42" s="203">
        <f t="shared" ref="BJ42:BJ47" si="143">+X42*1</f>
        <v>470000</v>
      </c>
      <c r="BK42" s="203">
        <f t="shared" ref="BK42:BK47" si="144">+X42*1</f>
        <v>470000</v>
      </c>
    </row>
    <row r="43" spans="2:63" s="11" customFormat="1" x14ac:dyDescent="0.2">
      <c r="B43" s="97"/>
      <c r="C43" s="98">
        <v>43193</v>
      </c>
      <c r="D43" s="99" t="s">
        <v>97</v>
      </c>
      <c r="E43" s="100" t="s">
        <v>98</v>
      </c>
      <c r="F43" s="101"/>
      <c r="G43" s="102">
        <v>0.1</v>
      </c>
      <c r="H43" s="103">
        <v>20000000</v>
      </c>
      <c r="I43" s="103"/>
      <c r="J43" s="103"/>
      <c r="K43" s="103">
        <f t="shared" si="0"/>
        <v>20000000</v>
      </c>
      <c r="L43" s="103"/>
      <c r="M43" s="103"/>
      <c r="N43" s="103">
        <f t="shared" si="1"/>
        <v>20000000</v>
      </c>
      <c r="O43" s="187"/>
      <c r="P43" s="101"/>
      <c r="Q43" s="104">
        <f t="shared" si="114"/>
        <v>10</v>
      </c>
      <c r="R43" s="101">
        <f t="shared" si="115"/>
        <v>120</v>
      </c>
      <c r="S43" s="101">
        <f t="shared" si="116"/>
        <v>4</v>
      </c>
      <c r="T43" s="105">
        <f t="shared" si="117"/>
        <v>2018</v>
      </c>
      <c r="U43" s="106">
        <f t="shared" si="118"/>
        <v>3</v>
      </c>
      <c r="V43" s="107">
        <f t="shared" si="119"/>
        <v>2028</v>
      </c>
      <c r="W43" s="108"/>
      <c r="X43" s="110">
        <f t="shared" ref="X43:X47" si="145">N43/R43</f>
        <v>166666.66666666666</v>
      </c>
      <c r="Y43" s="194">
        <v>75</v>
      </c>
      <c r="Z43" s="195">
        <v>12</v>
      </c>
      <c r="AA43" s="194">
        <f t="shared" si="120"/>
        <v>2000000</v>
      </c>
      <c r="AB43" s="194">
        <v>9500000</v>
      </c>
      <c r="AC43" s="194">
        <f t="shared" si="121"/>
        <v>10500000</v>
      </c>
      <c r="AD43" s="194">
        <f t="shared" si="122"/>
        <v>63</v>
      </c>
      <c r="AE43" s="195">
        <v>12</v>
      </c>
      <c r="AF43" s="194">
        <f t="shared" si="123"/>
        <v>2000000</v>
      </c>
      <c r="AG43" s="194">
        <f t="shared" si="124"/>
        <v>11500000</v>
      </c>
      <c r="AH43" s="194">
        <f t="shared" si="125"/>
        <v>8500000</v>
      </c>
      <c r="AI43" s="194">
        <f t="shared" si="126"/>
        <v>51</v>
      </c>
      <c r="AJ43" s="195">
        <v>12</v>
      </c>
      <c r="AK43" s="194">
        <f t="shared" ref="AK43:AK47" si="146">AJ43*X43</f>
        <v>2000000</v>
      </c>
      <c r="AL43" s="194">
        <f t="shared" si="127"/>
        <v>13500000</v>
      </c>
      <c r="AM43" s="194">
        <f t="shared" ref="AM43:AM47" si="147">N43-AL43</f>
        <v>6500000</v>
      </c>
      <c r="AN43" s="194">
        <f t="shared" si="128"/>
        <v>39</v>
      </c>
      <c r="AO43" s="195">
        <v>12</v>
      </c>
      <c r="AP43" s="194">
        <f t="shared" ref="AP43:AP47" si="148">AO43*X43</f>
        <v>2000000</v>
      </c>
      <c r="AQ43" s="194">
        <f t="shared" si="129"/>
        <v>15500000</v>
      </c>
      <c r="AR43" s="194">
        <f t="shared" ref="AR43:AR47" si="149">N43-AQ43</f>
        <v>4500000</v>
      </c>
      <c r="AS43" s="194">
        <f t="shared" si="130"/>
        <v>27</v>
      </c>
      <c r="AT43" s="195">
        <v>12</v>
      </c>
      <c r="AU43" s="194">
        <f t="shared" ref="AU43:AU47" si="150">AT43*X43</f>
        <v>2000000</v>
      </c>
      <c r="AV43" s="194">
        <f t="shared" si="131"/>
        <v>17500000</v>
      </c>
      <c r="AW43" s="194">
        <f t="shared" ref="AW43:AW47" si="151">N43-AV43</f>
        <v>2500000</v>
      </c>
      <c r="AY43" s="202">
        <f t="shared" si="132"/>
        <v>2000000.0000000002</v>
      </c>
      <c r="AZ43" s="203">
        <f t="shared" si="133"/>
        <v>166666.66666666666</v>
      </c>
      <c r="BA43" s="203">
        <f t="shared" si="134"/>
        <v>166666.66666666666</v>
      </c>
      <c r="BB43" s="203">
        <f t="shared" si="135"/>
        <v>166666.66666666666</v>
      </c>
      <c r="BC43" s="203">
        <f t="shared" si="136"/>
        <v>166666.66666666666</v>
      </c>
      <c r="BD43" s="203">
        <f t="shared" si="137"/>
        <v>166666.66666666666</v>
      </c>
      <c r="BE43" s="203">
        <f t="shared" si="138"/>
        <v>166666.66666666666</v>
      </c>
      <c r="BF43" s="203">
        <f t="shared" si="139"/>
        <v>166666.66666666666</v>
      </c>
      <c r="BG43" s="203">
        <f t="shared" si="140"/>
        <v>166666.66666666666</v>
      </c>
      <c r="BH43" s="203">
        <f t="shared" si="141"/>
        <v>166666.66666666666</v>
      </c>
      <c r="BI43" s="203">
        <f t="shared" si="142"/>
        <v>166666.66666666666</v>
      </c>
      <c r="BJ43" s="203">
        <f t="shared" si="143"/>
        <v>166666.66666666666</v>
      </c>
      <c r="BK43" s="203">
        <f t="shared" si="144"/>
        <v>166666.66666666666</v>
      </c>
    </row>
    <row r="44" spans="2:63" s="11" customFormat="1" x14ac:dyDescent="0.2">
      <c r="B44" s="97"/>
      <c r="C44" s="98">
        <v>43202</v>
      </c>
      <c r="D44" s="99" t="s">
        <v>99</v>
      </c>
      <c r="E44" s="100" t="s">
        <v>100</v>
      </c>
      <c r="F44" s="101"/>
      <c r="G44" s="102">
        <v>0.1</v>
      </c>
      <c r="H44" s="103">
        <v>10000000</v>
      </c>
      <c r="I44" s="103"/>
      <c r="J44" s="103"/>
      <c r="K44" s="103">
        <f t="shared" si="0"/>
        <v>10000000</v>
      </c>
      <c r="L44" s="103"/>
      <c r="M44" s="103"/>
      <c r="N44" s="103">
        <f t="shared" si="1"/>
        <v>10000000</v>
      </c>
      <c r="O44" s="187"/>
      <c r="P44" s="101"/>
      <c r="Q44" s="104">
        <f t="shared" si="114"/>
        <v>10</v>
      </c>
      <c r="R44" s="101">
        <f t="shared" si="115"/>
        <v>120</v>
      </c>
      <c r="S44" s="101">
        <f t="shared" si="116"/>
        <v>4</v>
      </c>
      <c r="T44" s="105">
        <f t="shared" si="117"/>
        <v>2018</v>
      </c>
      <c r="U44" s="106">
        <f t="shared" si="118"/>
        <v>3</v>
      </c>
      <c r="V44" s="107">
        <f t="shared" si="119"/>
        <v>2028</v>
      </c>
      <c r="W44" s="108"/>
      <c r="X44" s="110">
        <f t="shared" si="145"/>
        <v>83333.333333333328</v>
      </c>
      <c r="Y44" s="194">
        <v>75</v>
      </c>
      <c r="Z44" s="195">
        <v>12</v>
      </c>
      <c r="AA44" s="194">
        <f t="shared" si="120"/>
        <v>1000000</v>
      </c>
      <c r="AB44" s="194">
        <v>4750000</v>
      </c>
      <c r="AC44" s="194">
        <f t="shared" si="121"/>
        <v>5250000</v>
      </c>
      <c r="AD44" s="194">
        <f t="shared" si="122"/>
        <v>63</v>
      </c>
      <c r="AE44" s="195">
        <v>12</v>
      </c>
      <c r="AF44" s="194">
        <f t="shared" si="123"/>
        <v>1000000</v>
      </c>
      <c r="AG44" s="194">
        <f t="shared" si="124"/>
        <v>5750000</v>
      </c>
      <c r="AH44" s="194">
        <f t="shared" si="125"/>
        <v>4250000</v>
      </c>
      <c r="AI44" s="194">
        <f t="shared" si="126"/>
        <v>51</v>
      </c>
      <c r="AJ44" s="195">
        <v>12</v>
      </c>
      <c r="AK44" s="194">
        <f t="shared" si="146"/>
        <v>1000000</v>
      </c>
      <c r="AL44" s="194">
        <f t="shared" si="127"/>
        <v>6750000</v>
      </c>
      <c r="AM44" s="194">
        <f t="shared" si="147"/>
        <v>3250000</v>
      </c>
      <c r="AN44" s="194">
        <f t="shared" si="128"/>
        <v>39</v>
      </c>
      <c r="AO44" s="195">
        <v>12</v>
      </c>
      <c r="AP44" s="194">
        <f t="shared" si="148"/>
        <v>1000000</v>
      </c>
      <c r="AQ44" s="194">
        <f t="shared" si="129"/>
        <v>7750000</v>
      </c>
      <c r="AR44" s="194">
        <f t="shared" si="149"/>
        <v>2250000</v>
      </c>
      <c r="AS44" s="194">
        <f t="shared" si="130"/>
        <v>27</v>
      </c>
      <c r="AT44" s="195">
        <v>12</v>
      </c>
      <c r="AU44" s="194">
        <f t="shared" si="150"/>
        <v>1000000</v>
      </c>
      <c r="AV44" s="194">
        <f t="shared" si="131"/>
        <v>8750000</v>
      </c>
      <c r="AW44" s="194">
        <f t="shared" si="151"/>
        <v>1250000</v>
      </c>
      <c r="AY44" s="202">
        <f t="shared" si="132"/>
        <v>1000000.0000000001</v>
      </c>
      <c r="AZ44" s="203">
        <f t="shared" si="133"/>
        <v>83333.333333333328</v>
      </c>
      <c r="BA44" s="203">
        <f t="shared" si="134"/>
        <v>83333.333333333328</v>
      </c>
      <c r="BB44" s="203">
        <f t="shared" si="135"/>
        <v>83333.333333333328</v>
      </c>
      <c r="BC44" s="203">
        <f t="shared" si="136"/>
        <v>83333.333333333328</v>
      </c>
      <c r="BD44" s="203">
        <f t="shared" si="137"/>
        <v>83333.333333333328</v>
      </c>
      <c r="BE44" s="203">
        <f t="shared" si="138"/>
        <v>83333.333333333328</v>
      </c>
      <c r="BF44" s="203">
        <f t="shared" si="139"/>
        <v>83333.333333333328</v>
      </c>
      <c r="BG44" s="203">
        <f t="shared" si="140"/>
        <v>83333.333333333328</v>
      </c>
      <c r="BH44" s="203">
        <f t="shared" si="141"/>
        <v>83333.333333333328</v>
      </c>
      <c r="BI44" s="203">
        <f t="shared" si="142"/>
        <v>83333.333333333328</v>
      </c>
      <c r="BJ44" s="203">
        <f t="shared" si="143"/>
        <v>83333.333333333328</v>
      </c>
      <c r="BK44" s="203">
        <f t="shared" si="144"/>
        <v>83333.333333333328</v>
      </c>
    </row>
    <row r="45" spans="2:63" s="11" customFormat="1" x14ac:dyDescent="0.2">
      <c r="B45" s="97"/>
      <c r="C45" s="98">
        <v>43202</v>
      </c>
      <c r="D45" s="99" t="s">
        <v>99</v>
      </c>
      <c r="E45" s="100" t="s">
        <v>101</v>
      </c>
      <c r="F45" s="101"/>
      <c r="G45" s="102">
        <v>0.1</v>
      </c>
      <c r="H45" s="103">
        <v>10000000</v>
      </c>
      <c r="I45" s="103"/>
      <c r="J45" s="103"/>
      <c r="K45" s="103">
        <f t="shared" si="0"/>
        <v>10000000</v>
      </c>
      <c r="L45" s="103"/>
      <c r="M45" s="103"/>
      <c r="N45" s="103">
        <f t="shared" si="1"/>
        <v>10000000</v>
      </c>
      <c r="O45" s="187"/>
      <c r="P45" s="101"/>
      <c r="Q45" s="104">
        <f t="shared" si="114"/>
        <v>10</v>
      </c>
      <c r="R45" s="101">
        <f t="shared" si="115"/>
        <v>120</v>
      </c>
      <c r="S45" s="101">
        <f t="shared" si="116"/>
        <v>4</v>
      </c>
      <c r="T45" s="105">
        <f t="shared" si="117"/>
        <v>2018</v>
      </c>
      <c r="U45" s="106">
        <f t="shared" si="118"/>
        <v>3</v>
      </c>
      <c r="V45" s="107">
        <f t="shared" si="119"/>
        <v>2028</v>
      </c>
      <c r="W45" s="108"/>
      <c r="X45" s="110">
        <f t="shared" si="145"/>
        <v>83333.333333333328</v>
      </c>
      <c r="Y45" s="194">
        <v>75</v>
      </c>
      <c r="Z45" s="195">
        <v>12</v>
      </c>
      <c r="AA45" s="194">
        <f t="shared" si="120"/>
        <v>1000000</v>
      </c>
      <c r="AB45" s="194">
        <v>4750000</v>
      </c>
      <c r="AC45" s="194">
        <f t="shared" si="121"/>
        <v>5250000</v>
      </c>
      <c r="AD45" s="194">
        <f t="shared" si="122"/>
        <v>63</v>
      </c>
      <c r="AE45" s="195">
        <v>12</v>
      </c>
      <c r="AF45" s="194">
        <f t="shared" si="123"/>
        <v>1000000</v>
      </c>
      <c r="AG45" s="194">
        <f t="shared" si="124"/>
        <v>5750000</v>
      </c>
      <c r="AH45" s="194">
        <f t="shared" si="125"/>
        <v>4250000</v>
      </c>
      <c r="AI45" s="194">
        <f t="shared" si="126"/>
        <v>51</v>
      </c>
      <c r="AJ45" s="195">
        <v>12</v>
      </c>
      <c r="AK45" s="194">
        <f t="shared" si="146"/>
        <v>1000000</v>
      </c>
      <c r="AL45" s="194">
        <f t="shared" si="127"/>
        <v>6750000</v>
      </c>
      <c r="AM45" s="194">
        <f t="shared" si="147"/>
        <v>3250000</v>
      </c>
      <c r="AN45" s="194">
        <f t="shared" si="128"/>
        <v>39</v>
      </c>
      <c r="AO45" s="195">
        <v>12</v>
      </c>
      <c r="AP45" s="194">
        <f t="shared" si="148"/>
        <v>1000000</v>
      </c>
      <c r="AQ45" s="194">
        <f t="shared" si="129"/>
        <v>7750000</v>
      </c>
      <c r="AR45" s="194">
        <f t="shared" si="149"/>
        <v>2250000</v>
      </c>
      <c r="AS45" s="194">
        <f t="shared" si="130"/>
        <v>27</v>
      </c>
      <c r="AT45" s="195">
        <v>12</v>
      </c>
      <c r="AU45" s="194">
        <f t="shared" si="150"/>
        <v>1000000</v>
      </c>
      <c r="AV45" s="194">
        <f t="shared" si="131"/>
        <v>8750000</v>
      </c>
      <c r="AW45" s="194">
        <f t="shared" si="151"/>
        <v>1250000</v>
      </c>
      <c r="AY45" s="202">
        <f t="shared" si="132"/>
        <v>1000000.0000000001</v>
      </c>
      <c r="AZ45" s="203">
        <f t="shared" si="133"/>
        <v>83333.333333333328</v>
      </c>
      <c r="BA45" s="203">
        <f t="shared" si="134"/>
        <v>83333.333333333328</v>
      </c>
      <c r="BB45" s="203">
        <f t="shared" si="135"/>
        <v>83333.333333333328</v>
      </c>
      <c r="BC45" s="203">
        <f t="shared" si="136"/>
        <v>83333.333333333328</v>
      </c>
      <c r="BD45" s="203">
        <f t="shared" si="137"/>
        <v>83333.333333333328</v>
      </c>
      <c r="BE45" s="203">
        <f t="shared" si="138"/>
        <v>83333.333333333328</v>
      </c>
      <c r="BF45" s="203">
        <f t="shared" si="139"/>
        <v>83333.333333333328</v>
      </c>
      <c r="BG45" s="203">
        <f t="shared" si="140"/>
        <v>83333.333333333328</v>
      </c>
      <c r="BH45" s="203">
        <f t="shared" si="141"/>
        <v>83333.333333333328</v>
      </c>
      <c r="BI45" s="203">
        <f t="shared" si="142"/>
        <v>83333.333333333328</v>
      </c>
      <c r="BJ45" s="203">
        <f t="shared" si="143"/>
        <v>83333.333333333328</v>
      </c>
      <c r="BK45" s="203">
        <f t="shared" si="144"/>
        <v>83333.333333333328</v>
      </c>
    </row>
    <row r="46" spans="2:63" s="11" customFormat="1" x14ac:dyDescent="0.2">
      <c r="B46" s="97"/>
      <c r="C46" s="98">
        <v>43214</v>
      </c>
      <c r="D46" s="99" t="s">
        <v>102</v>
      </c>
      <c r="E46" s="100" t="s">
        <v>103</v>
      </c>
      <c r="F46" s="101"/>
      <c r="G46" s="102">
        <v>0.1</v>
      </c>
      <c r="H46" s="103">
        <v>20000000</v>
      </c>
      <c r="I46" s="103"/>
      <c r="J46" s="103"/>
      <c r="K46" s="103">
        <f t="shared" si="0"/>
        <v>20000000</v>
      </c>
      <c r="L46" s="103"/>
      <c r="M46" s="103"/>
      <c r="N46" s="103">
        <f t="shared" si="1"/>
        <v>20000000</v>
      </c>
      <c r="O46" s="187"/>
      <c r="P46" s="101"/>
      <c r="Q46" s="104">
        <f t="shared" si="114"/>
        <v>10</v>
      </c>
      <c r="R46" s="101">
        <f t="shared" si="115"/>
        <v>120</v>
      </c>
      <c r="S46" s="101">
        <f t="shared" si="116"/>
        <v>4</v>
      </c>
      <c r="T46" s="105">
        <f t="shared" si="117"/>
        <v>2018</v>
      </c>
      <c r="U46" s="106">
        <f t="shared" si="118"/>
        <v>3</v>
      </c>
      <c r="V46" s="107">
        <f t="shared" si="119"/>
        <v>2028</v>
      </c>
      <c r="W46" s="108"/>
      <c r="X46" s="110">
        <f t="shared" si="145"/>
        <v>166666.66666666666</v>
      </c>
      <c r="Y46" s="194">
        <v>75</v>
      </c>
      <c r="Z46" s="195">
        <v>12</v>
      </c>
      <c r="AA46" s="194">
        <f t="shared" si="120"/>
        <v>2000000</v>
      </c>
      <c r="AB46" s="194">
        <v>9500000</v>
      </c>
      <c r="AC46" s="194">
        <f t="shared" si="121"/>
        <v>10500000</v>
      </c>
      <c r="AD46" s="194">
        <f t="shared" si="122"/>
        <v>63</v>
      </c>
      <c r="AE46" s="195">
        <v>12</v>
      </c>
      <c r="AF46" s="194">
        <f t="shared" si="123"/>
        <v>2000000</v>
      </c>
      <c r="AG46" s="194">
        <f t="shared" si="124"/>
        <v>11500000</v>
      </c>
      <c r="AH46" s="194">
        <f t="shared" si="125"/>
        <v>8500000</v>
      </c>
      <c r="AI46" s="194">
        <f t="shared" si="126"/>
        <v>51</v>
      </c>
      <c r="AJ46" s="195">
        <v>12</v>
      </c>
      <c r="AK46" s="194">
        <f t="shared" si="146"/>
        <v>2000000</v>
      </c>
      <c r="AL46" s="194">
        <f t="shared" si="127"/>
        <v>13500000</v>
      </c>
      <c r="AM46" s="194">
        <f t="shared" si="147"/>
        <v>6500000</v>
      </c>
      <c r="AN46" s="194">
        <f t="shared" si="128"/>
        <v>39</v>
      </c>
      <c r="AO46" s="195">
        <v>12</v>
      </c>
      <c r="AP46" s="194">
        <f t="shared" si="148"/>
        <v>2000000</v>
      </c>
      <c r="AQ46" s="194">
        <f t="shared" si="129"/>
        <v>15500000</v>
      </c>
      <c r="AR46" s="194">
        <f t="shared" si="149"/>
        <v>4500000</v>
      </c>
      <c r="AS46" s="194">
        <f t="shared" si="130"/>
        <v>27</v>
      </c>
      <c r="AT46" s="195">
        <v>12</v>
      </c>
      <c r="AU46" s="194">
        <f t="shared" si="150"/>
        <v>2000000</v>
      </c>
      <c r="AV46" s="194">
        <f t="shared" si="131"/>
        <v>17500000</v>
      </c>
      <c r="AW46" s="194">
        <f t="shared" si="151"/>
        <v>2500000</v>
      </c>
      <c r="AY46" s="202">
        <f t="shared" si="132"/>
        <v>2000000.0000000002</v>
      </c>
      <c r="AZ46" s="203">
        <f t="shared" si="133"/>
        <v>166666.66666666666</v>
      </c>
      <c r="BA46" s="203">
        <f t="shared" si="134"/>
        <v>166666.66666666666</v>
      </c>
      <c r="BB46" s="203">
        <f t="shared" si="135"/>
        <v>166666.66666666666</v>
      </c>
      <c r="BC46" s="203">
        <f t="shared" si="136"/>
        <v>166666.66666666666</v>
      </c>
      <c r="BD46" s="203">
        <f t="shared" si="137"/>
        <v>166666.66666666666</v>
      </c>
      <c r="BE46" s="203">
        <f t="shared" si="138"/>
        <v>166666.66666666666</v>
      </c>
      <c r="BF46" s="203">
        <f t="shared" si="139"/>
        <v>166666.66666666666</v>
      </c>
      <c r="BG46" s="203">
        <f t="shared" si="140"/>
        <v>166666.66666666666</v>
      </c>
      <c r="BH46" s="203">
        <f t="shared" si="141"/>
        <v>166666.66666666666</v>
      </c>
      <c r="BI46" s="203">
        <f t="shared" si="142"/>
        <v>166666.66666666666</v>
      </c>
      <c r="BJ46" s="203">
        <f t="shared" si="143"/>
        <v>166666.66666666666</v>
      </c>
      <c r="BK46" s="203">
        <f t="shared" si="144"/>
        <v>166666.66666666666</v>
      </c>
    </row>
    <row r="47" spans="2:63" s="11" customFormat="1" x14ac:dyDescent="0.2">
      <c r="B47" s="97"/>
      <c r="C47" s="98">
        <v>43224</v>
      </c>
      <c r="D47" s="99" t="s">
        <v>104</v>
      </c>
      <c r="E47" s="100" t="s">
        <v>105</v>
      </c>
      <c r="F47" s="101"/>
      <c r="G47" s="102">
        <v>0.1</v>
      </c>
      <c r="H47" s="103">
        <v>14065000</v>
      </c>
      <c r="I47" s="103"/>
      <c r="J47" s="103"/>
      <c r="K47" s="103">
        <f t="shared" si="0"/>
        <v>14065000</v>
      </c>
      <c r="L47" s="103"/>
      <c r="M47" s="103"/>
      <c r="N47" s="103">
        <f t="shared" si="1"/>
        <v>14065000</v>
      </c>
      <c r="O47" s="187"/>
      <c r="P47" s="101"/>
      <c r="Q47" s="104">
        <f t="shared" si="114"/>
        <v>10</v>
      </c>
      <c r="R47" s="101">
        <f t="shared" si="115"/>
        <v>120</v>
      </c>
      <c r="S47" s="101">
        <f t="shared" si="116"/>
        <v>5</v>
      </c>
      <c r="T47" s="105">
        <f t="shared" si="117"/>
        <v>2018</v>
      </c>
      <c r="U47" s="106">
        <f t="shared" si="118"/>
        <v>4</v>
      </c>
      <c r="V47" s="107">
        <f t="shared" si="119"/>
        <v>2028</v>
      </c>
      <c r="W47" s="108"/>
      <c r="X47" s="110">
        <f t="shared" si="145"/>
        <v>117208.33333333333</v>
      </c>
      <c r="Y47" s="194">
        <v>76</v>
      </c>
      <c r="Z47" s="195">
        <v>12</v>
      </c>
      <c r="AA47" s="194">
        <f t="shared" si="120"/>
        <v>1406500</v>
      </c>
      <c r="AB47" s="194">
        <v>6563666.666666666</v>
      </c>
      <c r="AC47" s="194">
        <f t="shared" si="121"/>
        <v>7501333.333333334</v>
      </c>
      <c r="AD47" s="194">
        <f t="shared" si="122"/>
        <v>64</v>
      </c>
      <c r="AE47" s="195">
        <v>12</v>
      </c>
      <c r="AF47" s="194">
        <f t="shared" si="123"/>
        <v>1406500</v>
      </c>
      <c r="AG47" s="194">
        <f t="shared" si="124"/>
        <v>7970166.666666666</v>
      </c>
      <c r="AH47" s="194">
        <f t="shared" si="125"/>
        <v>6094833.333333334</v>
      </c>
      <c r="AI47" s="194">
        <f t="shared" si="126"/>
        <v>52</v>
      </c>
      <c r="AJ47" s="195">
        <v>12</v>
      </c>
      <c r="AK47" s="194">
        <f t="shared" si="146"/>
        <v>1406500</v>
      </c>
      <c r="AL47" s="194">
        <f t="shared" si="127"/>
        <v>9376666.666666666</v>
      </c>
      <c r="AM47" s="194">
        <f t="shared" si="147"/>
        <v>4688333.333333334</v>
      </c>
      <c r="AN47" s="194">
        <f t="shared" si="128"/>
        <v>40</v>
      </c>
      <c r="AO47" s="195">
        <v>12</v>
      </c>
      <c r="AP47" s="194">
        <f t="shared" si="148"/>
        <v>1406500</v>
      </c>
      <c r="AQ47" s="194">
        <f t="shared" si="129"/>
        <v>10783166.666666666</v>
      </c>
      <c r="AR47" s="194">
        <f t="shared" si="149"/>
        <v>3281833.333333334</v>
      </c>
      <c r="AS47" s="194">
        <f t="shared" si="130"/>
        <v>28</v>
      </c>
      <c r="AT47" s="195">
        <v>12</v>
      </c>
      <c r="AU47" s="194">
        <f t="shared" si="150"/>
        <v>1406500</v>
      </c>
      <c r="AV47" s="194">
        <f t="shared" si="131"/>
        <v>12189666.666666666</v>
      </c>
      <c r="AW47" s="194">
        <f t="shared" si="151"/>
        <v>1875333.333333334</v>
      </c>
      <c r="AY47" s="202">
        <f t="shared" si="132"/>
        <v>1406499.9999999998</v>
      </c>
      <c r="AZ47" s="203">
        <f t="shared" si="133"/>
        <v>117208.33333333333</v>
      </c>
      <c r="BA47" s="203">
        <f t="shared" si="134"/>
        <v>117208.33333333333</v>
      </c>
      <c r="BB47" s="203">
        <f t="shared" si="135"/>
        <v>117208.33333333333</v>
      </c>
      <c r="BC47" s="203">
        <f t="shared" si="136"/>
        <v>117208.33333333333</v>
      </c>
      <c r="BD47" s="203">
        <f t="shared" si="137"/>
        <v>117208.33333333333</v>
      </c>
      <c r="BE47" s="203">
        <f t="shared" si="138"/>
        <v>117208.33333333333</v>
      </c>
      <c r="BF47" s="203">
        <f t="shared" si="139"/>
        <v>117208.33333333333</v>
      </c>
      <c r="BG47" s="203">
        <f t="shared" si="140"/>
        <v>117208.33333333333</v>
      </c>
      <c r="BH47" s="203">
        <f t="shared" si="141"/>
        <v>117208.33333333333</v>
      </c>
      <c r="BI47" s="203">
        <f t="shared" si="142"/>
        <v>117208.33333333333</v>
      </c>
      <c r="BJ47" s="203">
        <f t="shared" si="143"/>
        <v>117208.33333333333</v>
      </c>
      <c r="BK47" s="203">
        <f t="shared" si="144"/>
        <v>117208.33333333333</v>
      </c>
    </row>
    <row r="48" spans="2:63" s="11" customFormat="1" x14ac:dyDescent="0.2">
      <c r="B48" s="209"/>
      <c r="C48" s="98"/>
      <c r="D48" s="99"/>
      <c r="E48" s="100"/>
      <c r="F48" s="101"/>
      <c r="G48" s="102"/>
      <c r="H48" s="103"/>
      <c r="I48" s="103"/>
      <c r="J48" s="103"/>
      <c r="K48" s="103"/>
      <c r="L48" s="103"/>
      <c r="M48" s="103"/>
      <c r="N48" s="103"/>
      <c r="O48" s="216"/>
      <c r="P48" s="213"/>
      <c r="Q48" s="104"/>
      <c r="R48" s="101"/>
      <c r="S48" s="213"/>
      <c r="T48" s="218"/>
      <c r="U48" s="219"/>
      <c r="V48" s="220"/>
      <c r="W48" s="221"/>
      <c r="X48" s="222"/>
      <c r="Y48" s="234"/>
      <c r="Z48" s="223"/>
      <c r="AA48" s="234"/>
      <c r="AB48" s="222"/>
      <c r="AC48" s="234"/>
      <c r="AD48" s="234"/>
      <c r="AE48" s="223"/>
      <c r="AF48" s="234"/>
      <c r="AG48" s="234"/>
      <c r="AH48" s="234"/>
      <c r="AI48" s="234"/>
      <c r="AJ48" s="223"/>
      <c r="AK48" s="234"/>
      <c r="AL48" s="234"/>
      <c r="AM48" s="234"/>
      <c r="AN48" s="234"/>
      <c r="AO48" s="223"/>
      <c r="AP48" s="234"/>
      <c r="AQ48" s="234"/>
      <c r="AR48" s="234"/>
      <c r="AS48" s="234"/>
      <c r="AT48" s="223"/>
      <c r="AU48" s="234"/>
      <c r="AV48" s="234"/>
      <c r="AW48" s="234"/>
      <c r="AY48" s="224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</row>
    <row r="49" spans="2:63" s="11" customFormat="1" x14ac:dyDescent="0.2">
      <c r="B49" s="209"/>
      <c r="C49" s="98">
        <v>43487</v>
      </c>
      <c r="D49" s="99" t="s">
        <v>284</v>
      </c>
      <c r="E49" s="100" t="s">
        <v>283</v>
      </c>
      <c r="F49" s="101"/>
      <c r="G49" s="102">
        <v>0.1</v>
      </c>
      <c r="H49" s="103">
        <v>0</v>
      </c>
      <c r="I49" s="103"/>
      <c r="J49" s="103"/>
      <c r="K49" s="103">
        <v>0</v>
      </c>
      <c r="L49" s="103"/>
      <c r="M49" s="103"/>
      <c r="N49" s="103">
        <v>17500000</v>
      </c>
      <c r="O49" s="216"/>
      <c r="P49" s="213"/>
      <c r="Q49" s="104">
        <f t="shared" ref="Q49:Q50" si="152">100%/G49</f>
        <v>10</v>
      </c>
      <c r="R49" s="101">
        <f t="shared" ref="R49:R50" si="153">Q49*12</f>
        <v>120</v>
      </c>
      <c r="S49" s="213">
        <v>1</v>
      </c>
      <c r="T49" s="218">
        <v>2019</v>
      </c>
      <c r="U49" s="219">
        <v>12</v>
      </c>
      <c r="V49" s="220">
        <v>2028</v>
      </c>
      <c r="W49" s="221"/>
      <c r="X49" s="110">
        <f t="shared" ref="X49" si="154">N49/R49</f>
        <v>145833.33333333334</v>
      </c>
      <c r="Y49" s="194">
        <v>84</v>
      </c>
      <c r="Z49" s="195">
        <v>12</v>
      </c>
      <c r="AA49" s="194">
        <f>Z49*X49</f>
        <v>1750000</v>
      </c>
      <c r="AB49" s="194">
        <v>7000000</v>
      </c>
      <c r="AC49" s="194">
        <f>N49-AB49</f>
        <v>10500000</v>
      </c>
      <c r="AD49" s="194">
        <f>+Y49-Z49</f>
        <v>72</v>
      </c>
      <c r="AE49" s="195">
        <v>12</v>
      </c>
      <c r="AF49" s="194">
        <f>AE49*X49</f>
        <v>1750000</v>
      </c>
      <c r="AG49" s="194">
        <f>+AB49+AF49</f>
        <v>8750000</v>
      </c>
      <c r="AH49" s="194">
        <f>N49-AG49</f>
        <v>8750000</v>
      </c>
      <c r="AI49" s="194">
        <f>+AD49-AE49</f>
        <v>60</v>
      </c>
      <c r="AJ49" s="195">
        <v>12</v>
      </c>
      <c r="AK49" s="194">
        <f t="shared" ref="AK49:AK50" si="155">AJ49*X49</f>
        <v>1750000</v>
      </c>
      <c r="AL49" s="194">
        <f>+AG49+AK49</f>
        <v>10500000</v>
      </c>
      <c r="AM49" s="194">
        <f t="shared" ref="AM49:AM50" si="156">N49-AL49</f>
        <v>7000000</v>
      </c>
      <c r="AN49" s="194">
        <f>+AI49-AJ49</f>
        <v>48</v>
      </c>
      <c r="AO49" s="195">
        <v>12</v>
      </c>
      <c r="AP49" s="194">
        <f t="shared" ref="AP49:AP50" si="157">AO49*X49</f>
        <v>1750000</v>
      </c>
      <c r="AQ49" s="194">
        <f>+AL49+AP49</f>
        <v>12250000</v>
      </c>
      <c r="AR49" s="194">
        <f t="shared" ref="AR49:AR50" si="158">N49-AQ49</f>
        <v>5250000</v>
      </c>
      <c r="AS49" s="194">
        <f>+AN49-AO49</f>
        <v>36</v>
      </c>
      <c r="AT49" s="195">
        <v>12</v>
      </c>
      <c r="AU49" s="194">
        <f t="shared" ref="AU49:AU52" si="159">AT49*X49</f>
        <v>1750000</v>
      </c>
      <c r="AV49" s="194">
        <f>+AQ49+AU49</f>
        <v>14000000</v>
      </c>
      <c r="AW49" s="194">
        <f t="shared" ref="AW49:AW50" si="160">N49-AV49</f>
        <v>3500000</v>
      </c>
      <c r="AY49" s="202">
        <f t="shared" si="132"/>
        <v>1749999.9999999998</v>
      </c>
      <c r="AZ49" s="203">
        <f>+X49*1</f>
        <v>145833.33333333334</v>
      </c>
      <c r="BA49" s="203">
        <f>+X49*1</f>
        <v>145833.33333333334</v>
      </c>
      <c r="BB49" s="203">
        <f>+X49*1</f>
        <v>145833.33333333334</v>
      </c>
      <c r="BC49" s="203">
        <f>+X49*1</f>
        <v>145833.33333333334</v>
      </c>
      <c r="BD49" s="203">
        <f>+X49*1</f>
        <v>145833.33333333334</v>
      </c>
      <c r="BE49" s="203">
        <f>+X49*1</f>
        <v>145833.33333333334</v>
      </c>
      <c r="BF49" s="203">
        <f>+X49*1</f>
        <v>145833.33333333334</v>
      </c>
      <c r="BG49" s="203">
        <f>+X49*1</f>
        <v>145833.33333333334</v>
      </c>
      <c r="BH49" s="203">
        <f>+X49*1</f>
        <v>145833.33333333334</v>
      </c>
      <c r="BI49" s="203">
        <f>+X49*1</f>
        <v>145833.33333333334</v>
      </c>
      <c r="BJ49" s="203">
        <f>+X49*1</f>
        <v>145833.33333333334</v>
      </c>
      <c r="BK49" s="203">
        <f>+X49*1</f>
        <v>145833.33333333334</v>
      </c>
    </row>
    <row r="50" spans="2:63" s="11" customFormat="1" x14ac:dyDescent="0.2">
      <c r="B50" s="209"/>
      <c r="C50" s="98">
        <v>43496</v>
      </c>
      <c r="D50" s="99" t="s">
        <v>285</v>
      </c>
      <c r="E50" s="100" t="s">
        <v>286</v>
      </c>
      <c r="F50" s="101"/>
      <c r="G50" s="102">
        <v>0.1</v>
      </c>
      <c r="H50" s="103">
        <v>0</v>
      </c>
      <c r="I50" s="103"/>
      <c r="J50" s="103"/>
      <c r="K50" s="103">
        <v>0</v>
      </c>
      <c r="L50" s="103"/>
      <c r="M50" s="103"/>
      <c r="N50" s="103">
        <v>24400000</v>
      </c>
      <c r="O50" s="216"/>
      <c r="P50" s="213"/>
      <c r="Q50" s="104">
        <f t="shared" si="152"/>
        <v>10</v>
      </c>
      <c r="R50" s="101">
        <f t="shared" si="153"/>
        <v>120</v>
      </c>
      <c r="S50" s="213">
        <v>1</v>
      </c>
      <c r="T50" s="218">
        <v>2019</v>
      </c>
      <c r="U50" s="219">
        <v>12</v>
      </c>
      <c r="V50" s="220">
        <v>2028</v>
      </c>
      <c r="W50" s="221"/>
      <c r="X50" s="110">
        <f>N50/R50</f>
        <v>203333.33333333334</v>
      </c>
      <c r="Y50" s="194">
        <v>84</v>
      </c>
      <c r="Z50" s="195">
        <v>12</v>
      </c>
      <c r="AA50" s="194">
        <f>Z50*X50</f>
        <v>2440000</v>
      </c>
      <c r="AB50" s="194">
        <v>9760000</v>
      </c>
      <c r="AC50" s="194">
        <f>N50-AB50</f>
        <v>14640000</v>
      </c>
      <c r="AD50" s="194">
        <f>+Y50-Z50</f>
        <v>72</v>
      </c>
      <c r="AE50" s="195">
        <v>12</v>
      </c>
      <c r="AF50" s="194">
        <f>AE50*X50</f>
        <v>2440000</v>
      </c>
      <c r="AG50" s="194">
        <f>+AB50+AF50</f>
        <v>12200000</v>
      </c>
      <c r="AH50" s="194">
        <f>N50-AG50</f>
        <v>12200000</v>
      </c>
      <c r="AI50" s="194">
        <f>+AD50-AE50</f>
        <v>60</v>
      </c>
      <c r="AJ50" s="195">
        <v>12</v>
      </c>
      <c r="AK50" s="194">
        <f t="shared" si="155"/>
        <v>2440000</v>
      </c>
      <c r="AL50" s="194">
        <f>+AG50+AK50</f>
        <v>14640000</v>
      </c>
      <c r="AM50" s="194">
        <f t="shared" si="156"/>
        <v>9760000</v>
      </c>
      <c r="AN50" s="194">
        <f>+AI50-AJ50</f>
        <v>48</v>
      </c>
      <c r="AO50" s="195">
        <v>12</v>
      </c>
      <c r="AP50" s="194">
        <f t="shared" si="157"/>
        <v>2440000</v>
      </c>
      <c r="AQ50" s="194">
        <f>+AL50+AP50</f>
        <v>17080000</v>
      </c>
      <c r="AR50" s="194">
        <f t="shared" si="158"/>
        <v>7320000</v>
      </c>
      <c r="AS50" s="194">
        <f>+AN50-AO50</f>
        <v>36</v>
      </c>
      <c r="AT50" s="195">
        <v>12</v>
      </c>
      <c r="AU50" s="194">
        <f t="shared" si="159"/>
        <v>2440000</v>
      </c>
      <c r="AV50" s="194">
        <f>+AQ50+AU50</f>
        <v>19520000</v>
      </c>
      <c r="AW50" s="194">
        <f t="shared" si="160"/>
        <v>4880000</v>
      </c>
      <c r="AY50" s="202">
        <f t="shared" si="132"/>
        <v>2440000</v>
      </c>
      <c r="AZ50" s="203">
        <f>+X50*1</f>
        <v>203333.33333333334</v>
      </c>
      <c r="BA50" s="203">
        <f>+X50*1</f>
        <v>203333.33333333334</v>
      </c>
      <c r="BB50" s="203">
        <f>+X50*1</f>
        <v>203333.33333333334</v>
      </c>
      <c r="BC50" s="203">
        <f>+X50*1</f>
        <v>203333.33333333334</v>
      </c>
      <c r="BD50" s="203">
        <f>+X50*1</f>
        <v>203333.33333333334</v>
      </c>
      <c r="BE50" s="203">
        <f>+X50*1</f>
        <v>203333.33333333334</v>
      </c>
      <c r="BF50" s="203">
        <f>+X50*1</f>
        <v>203333.33333333334</v>
      </c>
      <c r="BG50" s="203">
        <f>+X50*1</f>
        <v>203333.33333333334</v>
      </c>
      <c r="BH50" s="203">
        <f>+X50*1</f>
        <v>203333.33333333334</v>
      </c>
      <c r="BI50" s="203">
        <f>+X50*1</f>
        <v>203333.33333333334</v>
      </c>
      <c r="BJ50" s="203">
        <f>+X50*1</f>
        <v>203333.33333333334</v>
      </c>
      <c r="BK50" s="203">
        <f>+X50*1</f>
        <v>203333.33333333334</v>
      </c>
    </row>
    <row r="51" spans="2:63" s="11" customFormat="1" x14ac:dyDescent="0.2">
      <c r="B51" s="209"/>
      <c r="C51" s="210"/>
      <c r="D51" s="211"/>
      <c r="E51" s="212"/>
      <c r="F51" s="213"/>
      <c r="G51" s="214"/>
      <c r="H51" s="215"/>
      <c r="I51" s="215"/>
      <c r="J51" s="215"/>
      <c r="K51" s="215"/>
      <c r="L51" s="215"/>
      <c r="M51" s="215"/>
      <c r="N51" s="215"/>
      <c r="O51" s="216"/>
      <c r="P51" s="213"/>
      <c r="Q51" s="217"/>
      <c r="R51" s="213"/>
      <c r="S51" s="213"/>
      <c r="T51" s="218"/>
      <c r="U51" s="219"/>
      <c r="V51" s="220"/>
      <c r="W51" s="221"/>
      <c r="X51" s="222"/>
      <c r="Y51" s="222"/>
      <c r="Z51" s="223"/>
      <c r="AA51" s="222"/>
      <c r="AB51" s="222"/>
      <c r="AC51" s="222"/>
      <c r="AD51" s="222"/>
      <c r="AE51" s="223"/>
      <c r="AF51" s="222"/>
      <c r="AG51" s="222"/>
      <c r="AH51" s="222"/>
      <c r="AI51" s="222"/>
      <c r="AJ51" s="223"/>
      <c r="AK51" s="222"/>
      <c r="AL51" s="222"/>
      <c r="AM51" s="222"/>
      <c r="AN51" s="222"/>
      <c r="AO51" s="223"/>
      <c r="AP51" s="222"/>
      <c r="AQ51" s="222"/>
      <c r="AR51" s="222"/>
      <c r="AS51" s="222"/>
      <c r="AT51" s="223"/>
      <c r="AU51" s="222"/>
      <c r="AV51" s="222"/>
      <c r="AW51" s="222"/>
      <c r="AY51" s="224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</row>
    <row r="52" spans="2:63" s="11" customFormat="1" x14ac:dyDescent="0.2">
      <c r="B52" s="209"/>
      <c r="C52" s="328">
        <v>45474</v>
      </c>
      <c r="D52" s="211" t="s">
        <v>435</v>
      </c>
      <c r="E52" s="212" t="s">
        <v>436</v>
      </c>
      <c r="F52" s="213"/>
      <c r="G52" s="102">
        <v>0.05</v>
      </c>
      <c r="H52" s="103">
        <v>0</v>
      </c>
      <c r="I52" s="103"/>
      <c r="J52" s="103"/>
      <c r="K52" s="103">
        <v>0</v>
      </c>
      <c r="L52" s="103"/>
      <c r="M52" s="103"/>
      <c r="N52" s="103">
        <v>2366891932</v>
      </c>
      <c r="O52" s="216"/>
      <c r="P52" s="213"/>
      <c r="Q52" s="104">
        <f t="shared" ref="Q52" si="161">100%/G52</f>
        <v>20</v>
      </c>
      <c r="R52" s="101">
        <f t="shared" ref="R52" si="162">Q52*12</f>
        <v>240</v>
      </c>
      <c r="S52" s="213">
        <v>7</v>
      </c>
      <c r="T52" s="218">
        <v>2024</v>
      </c>
      <c r="U52" s="219">
        <v>6</v>
      </c>
      <c r="V52" s="220">
        <v>2044</v>
      </c>
      <c r="W52" s="221"/>
      <c r="X52" s="110">
        <f>N52/R52</f>
        <v>9862049.7166666668</v>
      </c>
      <c r="Y52" s="194"/>
      <c r="Z52" s="195"/>
      <c r="AA52" s="194"/>
      <c r="AB52" s="194"/>
      <c r="AC52" s="194"/>
      <c r="AD52" s="194"/>
      <c r="AE52" s="195"/>
      <c r="AF52" s="194"/>
      <c r="AG52" s="194"/>
      <c r="AH52" s="194"/>
      <c r="AI52" s="194">
        <v>234</v>
      </c>
      <c r="AJ52" s="195">
        <v>6</v>
      </c>
      <c r="AK52" s="194">
        <f>AJ52*X52</f>
        <v>59172298.299999997</v>
      </c>
      <c r="AL52" s="194">
        <f>+AG52+AK52</f>
        <v>59172298.299999997</v>
      </c>
      <c r="AM52" s="194">
        <f>N52-AL52</f>
        <v>2307719633.6999998</v>
      </c>
      <c r="AN52" s="194">
        <f>+AI52-AJ52</f>
        <v>228</v>
      </c>
      <c r="AO52" s="195">
        <v>12</v>
      </c>
      <c r="AP52" s="194">
        <f>AO52*X52</f>
        <v>118344596.59999999</v>
      </c>
      <c r="AQ52" s="194">
        <f>+AL52+AP52</f>
        <v>177516894.89999998</v>
      </c>
      <c r="AR52" s="194">
        <f>N52-AQ52</f>
        <v>2189375037.0999999</v>
      </c>
      <c r="AS52" s="194">
        <f>+AN52-AO52</f>
        <v>216</v>
      </c>
      <c r="AT52" s="195">
        <v>12</v>
      </c>
      <c r="AU52" s="194">
        <f t="shared" si="159"/>
        <v>118344596.59999999</v>
      </c>
      <c r="AV52" s="194">
        <f>+AQ52+AU52</f>
        <v>295861491.5</v>
      </c>
      <c r="AW52" s="194">
        <f>N52-AV52</f>
        <v>2071030440.5</v>
      </c>
      <c r="AY52" s="202">
        <f t="shared" ref="AY52" si="163">SUM(AZ52:BK52)</f>
        <v>118344596.60000001</v>
      </c>
      <c r="AZ52" s="203">
        <f>+X52*1</f>
        <v>9862049.7166666668</v>
      </c>
      <c r="BA52" s="203">
        <f>+X52*1</f>
        <v>9862049.7166666668</v>
      </c>
      <c r="BB52" s="203">
        <f>+X52*1</f>
        <v>9862049.7166666668</v>
      </c>
      <c r="BC52" s="203">
        <f>+X52*1</f>
        <v>9862049.7166666668</v>
      </c>
      <c r="BD52" s="203">
        <f>+X52*1</f>
        <v>9862049.7166666668</v>
      </c>
      <c r="BE52" s="203">
        <f>+X52*1</f>
        <v>9862049.7166666668</v>
      </c>
      <c r="BF52" s="203">
        <f>+X52*1</f>
        <v>9862049.7166666668</v>
      </c>
      <c r="BG52" s="203">
        <f>+X52*1</f>
        <v>9862049.7166666668</v>
      </c>
      <c r="BH52" s="203">
        <f>+X52*1</f>
        <v>9862049.7166666668</v>
      </c>
      <c r="BI52" s="203">
        <f>+X52*1</f>
        <v>9862049.7166666668</v>
      </c>
      <c r="BJ52" s="203">
        <f>+X52*1</f>
        <v>9862049.7166666668</v>
      </c>
      <c r="BK52" s="203">
        <f>+X52*1</f>
        <v>9862049.7166666668</v>
      </c>
    </row>
    <row r="53" spans="2:63" s="11" customFormat="1" x14ac:dyDescent="0.2">
      <c r="B53" s="209"/>
      <c r="C53" s="210"/>
      <c r="D53" s="211"/>
      <c r="E53" s="212"/>
      <c r="F53" s="213"/>
      <c r="G53" s="214"/>
      <c r="H53" s="215"/>
      <c r="I53" s="215"/>
      <c r="J53" s="215"/>
      <c r="K53" s="215"/>
      <c r="L53" s="215"/>
      <c r="M53" s="215"/>
      <c r="N53" s="215"/>
      <c r="O53" s="216"/>
      <c r="P53" s="213"/>
      <c r="Q53" s="217"/>
      <c r="R53" s="213"/>
      <c r="S53" s="213"/>
      <c r="T53" s="218"/>
      <c r="U53" s="219"/>
      <c r="V53" s="220"/>
      <c r="W53" s="221"/>
      <c r="X53" s="222"/>
      <c r="Y53" s="222"/>
      <c r="Z53" s="223"/>
      <c r="AA53" s="222"/>
      <c r="AB53" s="222"/>
      <c r="AC53" s="222"/>
      <c r="AD53" s="222"/>
      <c r="AE53" s="223"/>
      <c r="AF53" s="222"/>
      <c r="AG53" s="222"/>
      <c r="AH53" s="222"/>
      <c r="AI53" s="222"/>
      <c r="AJ53" s="223"/>
      <c r="AK53" s="222"/>
      <c r="AL53" s="222"/>
      <c r="AM53" s="222"/>
      <c r="AN53" s="222"/>
      <c r="AO53" s="223"/>
      <c r="AP53" s="222"/>
      <c r="AQ53" s="222"/>
      <c r="AR53" s="222"/>
      <c r="AS53" s="222"/>
      <c r="AT53" s="223"/>
      <c r="AU53" s="222"/>
      <c r="AV53" s="222"/>
      <c r="AW53" s="222"/>
      <c r="AY53" s="224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</row>
    <row r="54" spans="2:63" x14ac:dyDescent="0.2">
      <c r="B54" s="140"/>
      <c r="C54" s="141"/>
      <c r="D54" s="142"/>
      <c r="E54" s="143"/>
      <c r="F54" s="144"/>
      <c r="G54" s="145"/>
      <c r="H54" s="146"/>
      <c r="I54" s="146"/>
      <c r="J54" s="146"/>
      <c r="K54" s="146"/>
      <c r="L54" s="146"/>
      <c r="M54" s="146"/>
      <c r="N54" s="146"/>
      <c r="O54" s="188"/>
      <c r="P54" s="188"/>
      <c r="Q54" s="147"/>
      <c r="R54" s="144"/>
      <c r="S54" s="144"/>
      <c r="T54" s="148"/>
      <c r="U54" s="149"/>
      <c r="V54" s="150"/>
      <c r="W54" s="150"/>
      <c r="X54" s="153"/>
      <c r="Y54" s="153"/>
      <c r="Z54" s="152"/>
      <c r="AA54" s="153"/>
      <c r="AB54" s="153"/>
      <c r="AC54" s="153"/>
      <c r="AD54" s="153"/>
      <c r="AE54" s="152"/>
      <c r="AF54" s="153"/>
      <c r="AG54" s="153"/>
      <c r="AH54" s="153"/>
      <c r="AI54" s="153"/>
      <c r="AJ54" s="152"/>
      <c r="AK54" s="153"/>
      <c r="AL54" s="153"/>
      <c r="AM54" s="153"/>
      <c r="AN54" s="153"/>
      <c r="AO54" s="152"/>
      <c r="AP54" s="153"/>
      <c r="AQ54" s="153"/>
      <c r="AR54" s="153"/>
      <c r="AS54" s="153"/>
      <c r="AT54" s="152"/>
      <c r="AU54" s="153"/>
      <c r="AV54" s="153"/>
      <c r="AW54" s="153"/>
      <c r="AY54" s="196"/>
    </row>
    <row r="55" spans="2:63" s="6" customFormat="1" x14ac:dyDescent="0.2">
      <c r="B55" s="9"/>
      <c r="C55" s="155"/>
      <c r="D55" s="156"/>
      <c r="E55" s="157"/>
      <c r="F55" s="8"/>
      <c r="G55" s="158"/>
      <c r="H55" s="159">
        <f>SUM(H12:H47)</f>
        <v>1303345000</v>
      </c>
      <c r="I55" s="159"/>
      <c r="J55" s="159"/>
      <c r="K55" s="159">
        <f>SUM(K12:K47)</f>
        <v>1303345000</v>
      </c>
      <c r="L55" s="159"/>
      <c r="M55" s="159"/>
      <c r="N55" s="193">
        <f>SUM(N12:N54)</f>
        <v>3712136932</v>
      </c>
      <c r="O55" s="189"/>
      <c r="P55" s="189"/>
      <c r="Q55" s="160"/>
      <c r="R55" s="8"/>
      <c r="S55" s="8"/>
      <c r="T55" s="161"/>
      <c r="U55" s="162"/>
      <c r="V55" s="163"/>
      <c r="W55" s="163"/>
      <c r="X55" s="159">
        <f>SUM(X12:X54)</f>
        <v>17989723.639886297</v>
      </c>
      <c r="Y55" s="235"/>
      <c r="Z55" s="280"/>
      <c r="AA55" s="193">
        <f t="shared" ref="AA55:AC55" si="164">SUM(AA12:AA54)</f>
        <v>97532087.078635558</v>
      </c>
      <c r="AB55" s="235">
        <f t="shared" si="164"/>
        <v>1044607189.1384799</v>
      </c>
      <c r="AC55" s="230">
        <f t="shared" si="164"/>
        <v>300637810.86152011</v>
      </c>
      <c r="AD55" s="235"/>
      <c r="AE55" s="280"/>
      <c r="AF55" s="193">
        <f>SUM(AF12:AF54)</f>
        <v>97532087.078635558</v>
      </c>
      <c r="AG55" s="235">
        <f>SUM(AG12:AG54)</f>
        <v>1142139276.2171161</v>
      </c>
      <c r="AH55" s="230">
        <f>SUM(AH12:AH54)</f>
        <v>203105723.78288451</v>
      </c>
      <c r="AI55" s="235"/>
      <c r="AJ55" s="280"/>
      <c r="AK55" s="193">
        <f>SUM(AK12:AK54)</f>
        <v>145386405.0971694</v>
      </c>
      <c r="AL55" s="235">
        <f>SUM(AL12:AL54)</f>
        <v>1287525681.314285</v>
      </c>
      <c r="AM55" s="230">
        <f>SUM(AM12:AM54)</f>
        <v>2424611250.6857147</v>
      </c>
      <c r="AN55" s="235"/>
      <c r="AO55" s="280"/>
      <c r="AP55" s="193">
        <f>SUM(AP12:AP54)</f>
        <v>181672708.59161264</v>
      </c>
      <c r="AQ55" s="235">
        <f>SUM(AQ12:AQ54)</f>
        <v>1469198389.9058976</v>
      </c>
      <c r="AR55" s="230">
        <f>SUM(AR12:AR54)</f>
        <v>2242938542.0941024</v>
      </c>
      <c r="AS55" s="235"/>
      <c r="AT55" s="280"/>
      <c r="AU55" s="193">
        <f>SUM(AU12:AU54)</f>
        <v>148042768.26076916</v>
      </c>
      <c r="AV55" s="235">
        <f>SUM(AV12:AV54)</f>
        <v>1617241158.1666667</v>
      </c>
      <c r="AW55" s="230">
        <f>SUM(AW12:AW54)</f>
        <v>2094895773.8333333</v>
      </c>
      <c r="AY55" s="193">
        <f t="shared" ref="AY55:BK55" si="165">SUM(AY12:AY54)</f>
        <v>148042768.26076916</v>
      </c>
      <c r="AZ55" s="235">
        <f t="shared" si="165"/>
        <v>14300641.105610162</v>
      </c>
      <c r="BA55" s="235">
        <f t="shared" si="165"/>
        <v>13395442.328851754</v>
      </c>
      <c r="BB55" s="235">
        <f t="shared" si="165"/>
        <v>13049987.783397209</v>
      </c>
      <c r="BC55" s="235">
        <f t="shared" si="165"/>
        <v>12574199.495108919</v>
      </c>
      <c r="BD55" s="235">
        <f t="shared" si="165"/>
        <v>12574199.495108919</v>
      </c>
      <c r="BE55" s="235">
        <f t="shared" si="165"/>
        <v>12207588.138176765</v>
      </c>
      <c r="BF55" s="235">
        <f t="shared" si="165"/>
        <v>11992675.857475011</v>
      </c>
      <c r="BG55" s="235">
        <f t="shared" si="165"/>
        <v>11992675.857475011</v>
      </c>
      <c r="BH55" s="235">
        <f t="shared" si="165"/>
        <v>11992675.857475011</v>
      </c>
      <c r="BI55" s="235">
        <f t="shared" si="165"/>
        <v>11365832.908757063</v>
      </c>
      <c r="BJ55" s="235">
        <f t="shared" si="165"/>
        <v>11298424.716666667</v>
      </c>
      <c r="BK55" s="235">
        <f t="shared" si="165"/>
        <v>11298424.716666667</v>
      </c>
    </row>
    <row r="56" spans="2:63" x14ac:dyDescent="0.2">
      <c r="E56" s="165"/>
      <c r="G56" s="166"/>
      <c r="Q56" s="167"/>
      <c r="T56" s="168"/>
      <c r="U56" s="169"/>
      <c r="V56" s="170"/>
      <c r="W56" s="170"/>
      <c r="X56" s="172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spans="2:63" x14ac:dyDescent="0.2">
      <c r="E57" s="165"/>
      <c r="G57" s="166">
        <f>100/Q57/100</f>
        <v>0.1</v>
      </c>
      <c r="Q57" s="167">
        <v>10</v>
      </c>
      <c r="T57" s="168"/>
      <c r="U57" s="169"/>
      <c r="V57" s="170"/>
      <c r="W57" s="170"/>
      <c r="X57" s="172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spans="2:63" x14ac:dyDescent="0.2">
      <c r="B58" s="10" t="s">
        <v>65</v>
      </c>
      <c r="C58" s="23"/>
      <c r="E58" s="165"/>
      <c r="G58" s="166">
        <f>100/Q58/100</f>
        <v>0.25</v>
      </c>
      <c r="H58" s="166"/>
      <c r="Q58" s="167">
        <v>4</v>
      </c>
      <c r="T58" s="168"/>
      <c r="U58" s="169"/>
      <c r="V58" s="170"/>
      <c r="W58" s="170"/>
      <c r="X58" s="172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spans="2:63" x14ac:dyDescent="0.2">
      <c r="B59" s="10"/>
      <c r="C59" s="23"/>
      <c r="E59" s="165"/>
      <c r="G59" s="166">
        <f>100/Q59/100</f>
        <v>0.05</v>
      </c>
      <c r="H59" s="166"/>
      <c r="Q59" s="167">
        <v>20</v>
      </c>
      <c r="T59" s="168"/>
      <c r="U59" s="169"/>
      <c r="V59" s="170"/>
      <c r="W59" s="170"/>
      <c r="X59" s="172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spans="2:63" x14ac:dyDescent="0.2">
      <c r="C60" s="173" t="s">
        <v>12</v>
      </c>
      <c r="E60" s="165"/>
      <c r="G60"/>
      <c r="H60" s="166"/>
      <c r="Q60" s="167"/>
      <c r="T60" s="168"/>
      <c r="U60" s="169"/>
      <c r="V60" s="170"/>
      <c r="W60" s="170"/>
      <c r="X60" s="172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pans="2:63" x14ac:dyDescent="0.2">
      <c r="C61" s="172" t="s">
        <v>46</v>
      </c>
      <c r="E61" s="165"/>
      <c r="G61"/>
      <c r="H61" s="174">
        <f>K55</f>
        <v>1303345000</v>
      </c>
      <c r="J61" s="25" t="e">
        <f>Kendaraan!#REF!</f>
        <v>#REF!</v>
      </c>
      <c r="Q61" s="167"/>
      <c r="T61" s="168"/>
      <c r="U61" s="169"/>
      <c r="V61" s="170"/>
      <c r="W61" s="170"/>
      <c r="X61" s="172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spans="2:63" x14ac:dyDescent="0.2">
      <c r="C62" s="172" t="s">
        <v>66</v>
      </c>
      <c r="E62" s="165"/>
      <c r="G62"/>
      <c r="H62" s="174" t="e">
        <f>#REF!</f>
        <v>#REF!</v>
      </c>
      <c r="J62" s="25" t="e">
        <f>#REF!</f>
        <v>#REF!</v>
      </c>
      <c r="Q62" s="167"/>
      <c r="T62" s="168"/>
      <c r="U62" s="169"/>
      <c r="V62" s="170"/>
      <c r="W62" s="170"/>
      <c r="X62" s="172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spans="2:63" x14ac:dyDescent="0.2">
      <c r="C63" s="172"/>
      <c r="E63" s="165"/>
      <c r="G63"/>
      <c r="H63" s="175" t="e">
        <f>H61-H62</f>
        <v>#REF!</v>
      </c>
      <c r="J63" s="25" t="e">
        <f>'Perl. Kantor'!#REF!</f>
        <v>#REF!</v>
      </c>
      <c r="Q63" s="167"/>
      <c r="T63" s="168"/>
      <c r="U63" s="169"/>
      <c r="V63" s="170"/>
      <c r="W63" s="170"/>
      <c r="X63" s="172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spans="2:63" x14ac:dyDescent="0.2">
      <c r="C64" s="23"/>
      <c r="E64" s="165"/>
      <c r="G64"/>
      <c r="H64" s="166"/>
      <c r="I64"/>
      <c r="J64" s="172" t="e">
        <f>'Perl. Bengkel'!#REF!</f>
        <v>#REF!</v>
      </c>
      <c r="K64"/>
      <c r="L64"/>
      <c r="M64"/>
      <c r="N64"/>
      <c r="O64"/>
      <c r="P64"/>
    </row>
    <row r="65" spans="2:16" x14ac:dyDescent="0.2">
      <c r="C65" s="23"/>
      <c r="E65" s="165"/>
      <c r="G65"/>
      <c r="H65" s="166"/>
      <c r="I65"/>
      <c r="J65" s="172" t="e">
        <f>SUM(J61:J64)</f>
        <v>#REF!</v>
      </c>
      <c r="K65"/>
      <c r="L65"/>
      <c r="M65"/>
      <c r="N65"/>
      <c r="O65"/>
      <c r="P65"/>
    </row>
    <row r="66" spans="2:16" x14ac:dyDescent="0.2">
      <c r="C66" s="173" t="s">
        <v>25</v>
      </c>
      <c r="E66" s="165"/>
      <c r="G66"/>
      <c r="H66" s="166"/>
      <c r="I66"/>
      <c r="J66" s="172">
        <v>501554576.06394887</v>
      </c>
      <c r="K66"/>
      <c r="L66"/>
      <c r="M66"/>
      <c r="N66"/>
      <c r="O66"/>
      <c r="P66"/>
    </row>
    <row r="67" spans="2:16" x14ac:dyDescent="0.2">
      <c r="C67" s="23"/>
      <c r="E67" s="165"/>
      <c r="G67"/>
      <c r="H67" s="166"/>
      <c r="I67"/>
      <c r="J67" s="172" t="e">
        <f>J65-J66</f>
        <v>#REF!</v>
      </c>
      <c r="K67"/>
      <c r="L67"/>
      <c r="M67"/>
      <c r="N67"/>
      <c r="O67"/>
      <c r="P67"/>
    </row>
    <row r="68" spans="2:16" x14ac:dyDescent="0.2">
      <c r="C68" s="172" t="s">
        <v>46</v>
      </c>
      <c r="D68"/>
      <c r="G68" s="172"/>
      <c r="H68" s="172" t="e">
        <f>#REF!</f>
        <v>#REF!</v>
      </c>
      <c r="I68"/>
      <c r="J68"/>
      <c r="K68"/>
      <c r="L68"/>
      <c r="M68"/>
      <c r="N68"/>
      <c r="O68"/>
      <c r="P68"/>
    </row>
    <row r="69" spans="2:16" x14ac:dyDescent="0.2">
      <c r="C69" s="172" t="s">
        <v>66</v>
      </c>
      <c r="D69"/>
      <c r="G69" s="172"/>
      <c r="H69" s="177" t="e">
        <f>#REF!</f>
        <v>#REF!</v>
      </c>
      <c r="I69"/>
      <c r="J69"/>
      <c r="K69"/>
      <c r="L69"/>
      <c r="M69"/>
      <c r="N69"/>
      <c r="O69"/>
      <c r="P69"/>
    </row>
    <row r="70" spans="2:16" x14ac:dyDescent="0.2">
      <c r="C70" s="172"/>
      <c r="D70"/>
      <c r="G70" s="172"/>
      <c r="H70" s="172" t="e">
        <f>H68-H69</f>
        <v>#REF!</v>
      </c>
      <c r="I70"/>
      <c r="J70"/>
      <c r="K70"/>
      <c r="L70"/>
      <c r="M70"/>
      <c r="N70"/>
      <c r="O70"/>
      <c r="P70"/>
    </row>
    <row r="71" spans="2:16" x14ac:dyDescent="0.2">
      <c r="C71" s="172" t="s">
        <v>67</v>
      </c>
      <c r="D71"/>
      <c r="G71" s="172" t="e">
        <f>#REF!</f>
        <v>#REF!</v>
      </c>
      <c r="H71"/>
      <c r="I71"/>
      <c r="J71"/>
      <c r="K71"/>
      <c r="L71"/>
      <c r="M71"/>
      <c r="N71"/>
      <c r="O71"/>
      <c r="P71"/>
    </row>
    <row r="72" spans="2:16" x14ac:dyDescent="0.2">
      <c r="C72" s="172" t="s">
        <v>68</v>
      </c>
      <c r="D72"/>
      <c r="G72" s="177" t="e">
        <f>-#REF!</f>
        <v>#REF!</v>
      </c>
      <c r="H72"/>
      <c r="I72"/>
      <c r="J72"/>
      <c r="K72"/>
      <c r="L72"/>
      <c r="M72"/>
      <c r="N72"/>
      <c r="O72"/>
      <c r="P72"/>
    </row>
    <row r="73" spans="2:16" x14ac:dyDescent="0.2">
      <c r="C73" s="24"/>
      <c r="D73"/>
      <c r="G73" s="172"/>
      <c r="H73" s="172" t="e">
        <f>SUM(G71:G73)</f>
        <v>#REF!</v>
      </c>
      <c r="I73"/>
      <c r="J73"/>
      <c r="K73"/>
      <c r="L73"/>
      <c r="M73"/>
      <c r="N73"/>
      <c r="O73"/>
      <c r="P73"/>
    </row>
    <row r="74" spans="2:16" x14ac:dyDescent="0.2">
      <c r="B74" s="6"/>
      <c r="C74" s="172" t="s">
        <v>69</v>
      </c>
      <c r="D74"/>
      <c r="G74" s="172"/>
      <c r="H74" s="178" t="e">
        <f>H70-H73</f>
        <v>#REF!</v>
      </c>
    </row>
    <row r="77" spans="2:16" x14ac:dyDescent="0.2">
      <c r="B77" s="10" t="s">
        <v>70</v>
      </c>
      <c r="C77" s="172"/>
      <c r="D77" s="24"/>
      <c r="F77" s="172"/>
    </row>
    <row r="78" spans="2:16" x14ac:dyDescent="0.2">
      <c r="C78" s="172"/>
      <c r="D78" s="24"/>
      <c r="F78" s="172"/>
    </row>
    <row r="79" spans="2:16" x14ac:dyDescent="0.2">
      <c r="C79" s="24">
        <v>1</v>
      </c>
      <c r="D79" s="24" t="s">
        <v>16</v>
      </c>
      <c r="E79" s="17" t="s">
        <v>17</v>
      </c>
      <c r="G79" s="174" t="e">
        <f>SUM(H79:H81)</f>
        <v>#REF!</v>
      </c>
    </row>
    <row r="80" spans="2:16" x14ac:dyDescent="0.2">
      <c r="C80"/>
      <c r="D80" s="174" t="s">
        <v>71</v>
      </c>
      <c r="F80" t="s">
        <v>72</v>
      </c>
      <c r="G80"/>
      <c r="H80" s="174" t="e">
        <f>-G72</f>
        <v>#REF!</v>
      </c>
    </row>
    <row r="81" spans="3:8" x14ac:dyDescent="0.2">
      <c r="C81"/>
      <c r="D81" s="24" t="s">
        <v>73</v>
      </c>
      <c r="F81" t="s">
        <v>74</v>
      </c>
      <c r="G81"/>
      <c r="H81" s="174" t="e">
        <f>-G71</f>
        <v>#REF!</v>
      </c>
    </row>
    <row r="82" spans="3:8" x14ac:dyDescent="0.2">
      <c r="C82"/>
      <c r="D82"/>
      <c r="E82" s="13" t="s">
        <v>106</v>
      </c>
    </row>
    <row r="83" spans="3:8" x14ac:dyDescent="0.2">
      <c r="C83"/>
      <c r="D83"/>
    </row>
    <row r="84" spans="3:8" x14ac:dyDescent="0.2">
      <c r="C84"/>
      <c r="D84"/>
    </row>
  </sheetData>
  <mergeCells count="46">
    <mergeCell ref="AS6:AW6"/>
    <mergeCell ref="AS7:AT8"/>
    <mergeCell ref="AU7:AU8"/>
    <mergeCell ref="AV7:AV8"/>
    <mergeCell ref="AW7:AW8"/>
    <mergeCell ref="L6:N6"/>
    <mergeCell ref="O6:R6"/>
    <mergeCell ref="S6:T6"/>
    <mergeCell ref="U6:V6"/>
    <mergeCell ref="AD6:AH6"/>
    <mergeCell ref="B6:B8"/>
    <mergeCell ref="C6:C8"/>
    <mergeCell ref="E6:F8"/>
    <mergeCell ref="G6:G8"/>
    <mergeCell ref="H6:K6"/>
    <mergeCell ref="H7:H8"/>
    <mergeCell ref="I7:I8"/>
    <mergeCell ref="J7:J8"/>
    <mergeCell ref="O7:P7"/>
    <mergeCell ref="W6:X7"/>
    <mergeCell ref="Q7:R7"/>
    <mergeCell ref="S7:S8"/>
    <mergeCell ref="T7:T8"/>
    <mergeCell ref="U7:U8"/>
    <mergeCell ref="V7:V8"/>
    <mergeCell ref="L7:L8"/>
    <mergeCell ref="M7:M8"/>
    <mergeCell ref="AI6:AM6"/>
    <mergeCell ref="AI7:AJ8"/>
    <mergeCell ref="Y6:AC6"/>
    <mergeCell ref="Y7:Z8"/>
    <mergeCell ref="AA7:AA8"/>
    <mergeCell ref="AB7:AB8"/>
    <mergeCell ref="AC7:AC8"/>
    <mergeCell ref="AK7:AK8"/>
    <mergeCell ref="AL7:AL8"/>
    <mergeCell ref="AM7:AM8"/>
    <mergeCell ref="AD7:AE8"/>
    <mergeCell ref="AF7:AF8"/>
    <mergeCell ref="AG7:AG8"/>
    <mergeCell ref="AH7:AH8"/>
    <mergeCell ref="AN6:AR6"/>
    <mergeCell ref="AN7:AO8"/>
    <mergeCell ref="AP7:AP8"/>
    <mergeCell ref="AQ7:AQ8"/>
    <mergeCell ref="AR7:AR8"/>
  </mergeCells>
  <pageMargins left="0.31496062992125984" right="0" top="0.94488188976377963" bottom="0.74803149606299213" header="0.31496062992125984" footer="0.31496062992125984"/>
  <pageSetup paperSize="9" scale="7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58"/>
  <sheetViews>
    <sheetView workbookViewId="0">
      <selection activeCell="L41" sqref="L41"/>
    </sheetView>
  </sheetViews>
  <sheetFormatPr defaultRowHeight="10.199999999999999" x14ac:dyDescent="0.2"/>
  <cols>
    <col min="1" max="1" width="2.85546875" customWidth="1"/>
    <col min="3" max="3" width="14.7109375" style="179" bestFit="1" customWidth="1"/>
    <col min="4" max="4" width="14.7109375" style="23" customWidth="1"/>
    <col min="5" max="5" width="9.28515625" customWidth="1"/>
    <col min="6" max="6" width="35.140625" customWidth="1"/>
    <col min="7" max="7" width="14" style="24" customWidth="1"/>
    <col min="8" max="8" width="17.42578125" style="25" customWidth="1"/>
    <col min="9" max="9" width="16.85546875" style="25" customWidth="1"/>
    <col min="10" max="10" width="15.7109375" style="25" customWidth="1"/>
    <col min="11" max="14" width="18.42578125" style="25" customWidth="1"/>
    <col min="15" max="15" width="1" customWidth="1"/>
  </cols>
  <sheetData>
    <row r="1" spans="2:15" ht="10.8" thickBot="1" x14ac:dyDescent="0.25"/>
    <row r="2" spans="2:15" ht="10.5" customHeight="1" x14ac:dyDescent="0.2">
      <c r="B2" s="14" t="s">
        <v>22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15"/>
      <c r="K2" s="18"/>
      <c r="L2" s="30" t="s">
        <v>1</v>
      </c>
      <c r="M2" s="19" t="s">
        <v>2</v>
      </c>
      <c r="N2" s="434" t="s">
        <v>27</v>
      </c>
      <c r="O2" s="434"/>
    </row>
    <row r="3" spans="2:15" ht="10.5" customHeight="1" x14ac:dyDescent="0.2">
      <c r="B3" s="1" t="s">
        <v>23</v>
      </c>
      <c r="C3" s="181"/>
      <c r="D3" s="1"/>
      <c r="E3" s="2" t="s">
        <v>0</v>
      </c>
      <c r="F3" s="3">
        <v>43465</v>
      </c>
      <c r="G3" s="31"/>
      <c r="H3" s="31"/>
      <c r="I3" s="32"/>
      <c r="J3" s="34"/>
      <c r="K3" s="20" t="s">
        <v>3</v>
      </c>
      <c r="L3" s="35"/>
      <c r="M3" s="36"/>
      <c r="N3" s="435"/>
      <c r="O3" s="435"/>
    </row>
    <row r="4" spans="2:15" ht="11.25" customHeight="1" thickBot="1" x14ac:dyDescent="0.25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5"/>
      <c r="K4" s="21" t="s">
        <v>4</v>
      </c>
      <c r="L4" s="40"/>
      <c r="M4" s="22"/>
      <c r="N4" s="436"/>
      <c r="O4" s="436"/>
    </row>
    <row r="6" spans="2:15" s="6" customFormat="1" ht="10.5" customHeight="1" x14ac:dyDescent="0.2">
      <c r="B6" s="391" t="s">
        <v>7</v>
      </c>
      <c r="C6" s="430" t="s">
        <v>29</v>
      </c>
      <c r="D6" s="41"/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 t="s">
        <v>32</v>
      </c>
      <c r="M6" s="419"/>
      <c r="N6" s="420"/>
      <c r="O6" s="42"/>
    </row>
    <row r="7" spans="2:15" s="6" customFormat="1" ht="10.5" customHeight="1" x14ac:dyDescent="0.2">
      <c r="B7" s="391"/>
      <c r="C7" s="430"/>
      <c r="D7" s="43" t="s">
        <v>37</v>
      </c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42"/>
    </row>
    <row r="8" spans="2:15" s="6" customFormat="1" x14ac:dyDescent="0.2">
      <c r="B8" s="391"/>
      <c r="C8" s="430"/>
      <c r="D8" s="45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42"/>
    </row>
    <row r="9" spans="2:15" x14ac:dyDescent="0.2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60"/>
    </row>
    <row r="10" spans="2:15" s="6" customFormat="1" x14ac:dyDescent="0.2">
      <c r="B10" s="61"/>
      <c r="C10" s="184" t="s">
        <v>13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42"/>
    </row>
    <row r="11" spans="2:15" x14ac:dyDescent="0.2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0"/>
    </row>
    <row r="12" spans="2:15" x14ac:dyDescent="0.2">
      <c r="B12" s="68"/>
      <c r="C12" s="89"/>
      <c r="D12" s="70"/>
      <c r="E12" s="115" t="s">
        <v>62</v>
      </c>
      <c r="F12" s="72"/>
      <c r="G12" s="73"/>
      <c r="H12" s="74"/>
      <c r="I12" s="74"/>
      <c r="J12" s="74"/>
      <c r="K12" s="74"/>
      <c r="L12" s="74"/>
      <c r="M12" s="74"/>
      <c r="N12" s="74"/>
      <c r="O12" s="60"/>
    </row>
    <row r="13" spans="2:15" x14ac:dyDescent="0.2">
      <c r="B13" s="68"/>
      <c r="C13" s="89"/>
      <c r="D13" s="70">
        <v>42733</v>
      </c>
      <c r="E13" s="71" t="s">
        <v>107</v>
      </c>
      <c r="F13" s="72"/>
      <c r="G13" s="90"/>
      <c r="H13" s="74">
        <v>180500000</v>
      </c>
      <c r="I13" s="74"/>
      <c r="J13" s="74"/>
      <c r="K13" s="74">
        <f t="shared" ref="K13:K18" si="0">H13+I13-J13</f>
        <v>180500000</v>
      </c>
      <c r="L13" s="74"/>
      <c r="M13" s="74"/>
      <c r="N13" s="74">
        <f t="shared" ref="N13:N18" si="1">K13+L13-M13</f>
        <v>180500000</v>
      </c>
      <c r="O13" s="60"/>
    </row>
    <row r="14" spans="2:15" x14ac:dyDescent="0.2">
      <c r="B14" s="68"/>
      <c r="C14" s="89"/>
      <c r="D14" s="70">
        <v>42733</v>
      </c>
      <c r="E14" s="71" t="s">
        <v>108</v>
      </c>
      <c r="F14" s="72"/>
      <c r="G14" s="90"/>
      <c r="H14" s="74">
        <v>373012500</v>
      </c>
      <c r="I14" s="74"/>
      <c r="J14" s="74"/>
      <c r="K14" s="74">
        <f t="shared" si="0"/>
        <v>373012500</v>
      </c>
      <c r="L14" s="74"/>
      <c r="M14" s="74"/>
      <c r="N14" s="74">
        <f t="shared" si="1"/>
        <v>373012500</v>
      </c>
      <c r="O14" s="60"/>
    </row>
    <row r="15" spans="2:15" x14ac:dyDescent="0.2">
      <c r="B15" s="68"/>
      <c r="C15" s="89"/>
      <c r="D15" s="70">
        <v>42733</v>
      </c>
      <c r="E15" s="71" t="s">
        <v>109</v>
      </c>
      <c r="F15" s="72"/>
      <c r="G15" s="90"/>
      <c r="H15" s="74">
        <v>155000000</v>
      </c>
      <c r="I15" s="74"/>
      <c r="J15" s="74"/>
      <c r="K15" s="74">
        <f t="shared" si="0"/>
        <v>155000000</v>
      </c>
      <c r="L15" s="74"/>
      <c r="M15" s="74"/>
      <c r="N15" s="74">
        <f t="shared" si="1"/>
        <v>155000000</v>
      </c>
      <c r="O15" s="60"/>
    </row>
    <row r="16" spans="2:15" x14ac:dyDescent="0.2">
      <c r="B16" s="68"/>
      <c r="C16" s="89"/>
      <c r="D16" s="70">
        <v>42733</v>
      </c>
      <c r="E16" s="71" t="s">
        <v>110</v>
      </c>
      <c r="F16" s="72"/>
      <c r="G16" s="90"/>
      <c r="H16" s="74">
        <v>264450000</v>
      </c>
      <c r="I16" s="74"/>
      <c r="J16" s="74"/>
      <c r="K16" s="74">
        <f t="shared" si="0"/>
        <v>264450000</v>
      </c>
      <c r="L16" s="74"/>
      <c r="M16" s="74"/>
      <c r="N16" s="74">
        <f t="shared" si="1"/>
        <v>264450000</v>
      </c>
      <c r="O16" s="60"/>
    </row>
    <row r="17" spans="2:15" x14ac:dyDescent="0.2">
      <c r="B17" s="68"/>
      <c r="C17" s="89"/>
      <c r="D17" s="70">
        <v>42733</v>
      </c>
      <c r="E17" s="71" t="s">
        <v>110</v>
      </c>
      <c r="F17" s="72"/>
      <c r="G17" s="90"/>
      <c r="H17" s="74">
        <v>86558000</v>
      </c>
      <c r="I17" s="74"/>
      <c r="J17" s="74"/>
      <c r="K17" s="74">
        <f t="shared" si="0"/>
        <v>86558000</v>
      </c>
      <c r="L17" s="74"/>
      <c r="M17" s="74"/>
      <c r="N17" s="74">
        <f t="shared" si="1"/>
        <v>86558000</v>
      </c>
      <c r="O17" s="60"/>
    </row>
    <row r="18" spans="2:15" x14ac:dyDescent="0.2">
      <c r="B18" s="68"/>
      <c r="C18" s="89"/>
      <c r="D18" s="70">
        <v>42733</v>
      </c>
      <c r="E18" s="71" t="s">
        <v>110</v>
      </c>
      <c r="F18" s="72"/>
      <c r="G18" s="90"/>
      <c r="H18" s="74">
        <v>74992000</v>
      </c>
      <c r="I18" s="74"/>
      <c r="J18" s="74"/>
      <c r="K18" s="74">
        <f t="shared" si="0"/>
        <v>74992000</v>
      </c>
      <c r="L18" s="74"/>
      <c r="M18" s="74"/>
      <c r="N18" s="74">
        <f t="shared" si="1"/>
        <v>74992000</v>
      </c>
      <c r="O18" s="60"/>
    </row>
    <row r="19" spans="2:15" x14ac:dyDescent="0.2">
      <c r="B19" s="140"/>
      <c r="C19" s="141"/>
      <c r="D19" s="142"/>
      <c r="E19" s="303"/>
      <c r="F19" s="144"/>
      <c r="G19" s="304"/>
      <c r="H19" s="146"/>
      <c r="I19" s="146"/>
      <c r="J19" s="146"/>
      <c r="K19" s="146"/>
      <c r="L19" s="146"/>
      <c r="M19" s="146"/>
      <c r="N19" s="146"/>
      <c r="O19" s="60"/>
    </row>
    <row r="20" spans="2:15" x14ac:dyDescent="0.2">
      <c r="B20" s="140"/>
      <c r="C20" s="141"/>
      <c r="D20" s="142"/>
      <c r="E20" s="303"/>
      <c r="F20" s="144"/>
      <c r="G20" s="304"/>
      <c r="H20" s="305">
        <f>SUM(H13:H19)</f>
        <v>1134512500</v>
      </c>
      <c r="I20" s="146"/>
      <c r="J20" s="146"/>
      <c r="K20" s="305">
        <f>SUM(K13:K19)</f>
        <v>1134512500</v>
      </c>
      <c r="L20" s="146"/>
      <c r="M20" s="146"/>
      <c r="N20" s="305">
        <f>SUM(N13:N19)</f>
        <v>1134512500</v>
      </c>
      <c r="O20" s="60"/>
    </row>
    <row r="21" spans="2:15" x14ac:dyDescent="0.2">
      <c r="B21" s="140"/>
      <c r="C21" s="141"/>
      <c r="D21" s="142"/>
      <c r="E21" s="303"/>
      <c r="F21" s="144"/>
      <c r="G21" s="304"/>
      <c r="H21" s="146"/>
      <c r="I21" s="146"/>
      <c r="J21" s="146"/>
      <c r="K21" s="146"/>
      <c r="L21" s="146"/>
      <c r="M21" s="146"/>
      <c r="N21" s="146"/>
      <c r="O21" s="60"/>
    </row>
    <row r="22" spans="2:15" x14ac:dyDescent="0.2">
      <c r="B22" s="140"/>
      <c r="C22" s="141"/>
      <c r="D22" s="70">
        <v>44651</v>
      </c>
      <c r="E22" s="303" t="s">
        <v>406</v>
      </c>
      <c r="F22" s="144"/>
      <c r="G22" s="304"/>
      <c r="H22" s="146"/>
      <c r="I22" s="146"/>
      <c r="J22" s="146"/>
      <c r="K22" s="146"/>
      <c r="L22" s="146"/>
      <c r="M22" s="146"/>
      <c r="N22" s="146">
        <v>1493850000</v>
      </c>
      <c r="O22" s="60"/>
    </row>
    <row r="23" spans="2:15" x14ac:dyDescent="0.2">
      <c r="B23" s="140"/>
      <c r="C23" s="141"/>
      <c r="D23" s="70"/>
      <c r="E23" s="303"/>
      <c r="F23" s="144"/>
      <c r="G23" s="304"/>
      <c r="H23" s="146"/>
      <c r="I23" s="146"/>
      <c r="J23" s="146"/>
      <c r="K23" s="146"/>
      <c r="L23" s="146"/>
      <c r="M23" s="146"/>
      <c r="N23" s="146"/>
      <c r="O23" s="60"/>
    </row>
    <row r="24" spans="2:15" x14ac:dyDescent="0.2">
      <c r="B24" s="140"/>
      <c r="C24" s="141"/>
      <c r="D24" s="142"/>
      <c r="E24" s="303"/>
      <c r="F24" s="144"/>
      <c r="G24" s="304"/>
      <c r="H24" s="305"/>
      <c r="I24" s="146"/>
      <c r="J24" s="146"/>
      <c r="K24" s="305"/>
      <c r="L24" s="146"/>
      <c r="M24" s="146"/>
      <c r="N24" s="305">
        <f>SUM(N22:N23)</f>
        <v>1493850000</v>
      </c>
      <c r="O24" s="60"/>
    </row>
    <row r="25" spans="2:15" x14ac:dyDescent="0.2">
      <c r="B25" s="140"/>
      <c r="C25" s="141"/>
      <c r="D25" s="142"/>
      <c r="E25" s="303"/>
      <c r="F25" s="144"/>
      <c r="G25" s="304"/>
      <c r="H25" s="305"/>
      <c r="I25" s="146"/>
      <c r="J25" s="146"/>
      <c r="K25" s="305"/>
      <c r="L25" s="146"/>
      <c r="M25" s="146"/>
      <c r="N25" s="305"/>
      <c r="O25" s="60"/>
    </row>
    <row r="26" spans="2:15" x14ac:dyDescent="0.2">
      <c r="B26" s="140"/>
      <c r="C26" s="141"/>
      <c r="D26" s="70">
        <v>44991</v>
      </c>
      <c r="E26" s="303" t="s">
        <v>407</v>
      </c>
      <c r="F26" s="144"/>
      <c r="G26" s="304"/>
      <c r="H26" s="305"/>
      <c r="I26" s="146"/>
      <c r="J26" s="146"/>
      <c r="K26" s="305"/>
      <c r="L26" s="146"/>
      <c r="M26" s="146"/>
      <c r="N26" s="154">
        <v>7500000</v>
      </c>
      <c r="O26" s="60"/>
    </row>
    <row r="27" spans="2:15" x14ac:dyDescent="0.2">
      <c r="B27" s="140"/>
      <c r="C27" s="141"/>
      <c r="D27" s="70">
        <v>45016</v>
      </c>
      <c r="E27" s="303" t="s">
        <v>405</v>
      </c>
      <c r="F27" s="144"/>
      <c r="G27" s="304"/>
      <c r="H27" s="305"/>
      <c r="I27" s="146"/>
      <c r="J27" s="146"/>
      <c r="K27" s="305"/>
      <c r="L27" s="146"/>
      <c r="M27" s="146"/>
      <c r="N27" s="154">
        <v>14500000000</v>
      </c>
      <c r="O27" s="60"/>
    </row>
    <row r="28" spans="2:15" x14ac:dyDescent="0.2">
      <c r="B28" s="140"/>
      <c r="C28" s="141"/>
      <c r="D28" s="70">
        <v>45028</v>
      </c>
      <c r="E28" s="303" t="s">
        <v>408</v>
      </c>
      <c r="F28" s="144"/>
      <c r="G28" s="304"/>
      <c r="H28" s="305"/>
      <c r="I28" s="146"/>
      <c r="J28" s="146"/>
      <c r="K28" s="305"/>
      <c r="L28" s="146"/>
      <c r="M28" s="146"/>
      <c r="N28" s="154">
        <v>721000000</v>
      </c>
      <c r="O28" s="60"/>
    </row>
    <row r="29" spans="2:15" x14ac:dyDescent="0.2">
      <c r="B29" s="140"/>
      <c r="C29" s="141"/>
      <c r="D29" s="70">
        <v>45028</v>
      </c>
      <c r="E29" s="303" t="s">
        <v>409</v>
      </c>
      <c r="F29" s="144"/>
      <c r="G29" s="304"/>
      <c r="H29" s="305"/>
      <c r="I29" s="146"/>
      <c r="J29" s="146"/>
      <c r="K29" s="305"/>
      <c r="L29" s="146"/>
      <c r="M29" s="146"/>
      <c r="N29" s="154">
        <v>77200000</v>
      </c>
      <c r="O29" s="60"/>
    </row>
    <row r="30" spans="2:15" x14ac:dyDescent="0.2">
      <c r="B30" s="140"/>
      <c r="C30" s="141"/>
      <c r="D30" s="142"/>
      <c r="E30" s="303"/>
      <c r="F30" s="144"/>
      <c r="G30" s="304"/>
      <c r="H30" s="305"/>
      <c r="I30" s="146"/>
      <c r="J30" s="146"/>
      <c r="K30" s="305"/>
      <c r="L30" s="146"/>
      <c r="M30" s="146"/>
      <c r="N30" s="305"/>
      <c r="O30" s="60"/>
    </row>
    <row r="31" spans="2:15" x14ac:dyDescent="0.2">
      <c r="B31" s="140"/>
      <c r="C31" s="141"/>
      <c r="D31" s="142"/>
      <c r="E31" s="303"/>
      <c r="F31" s="144"/>
      <c r="G31" s="304"/>
      <c r="H31" s="305"/>
      <c r="I31" s="146"/>
      <c r="J31" s="146"/>
      <c r="K31" s="305"/>
      <c r="L31" s="146"/>
      <c r="M31" s="146"/>
      <c r="N31" s="305">
        <f>SUM(N26:N30)</f>
        <v>15305700000</v>
      </c>
      <c r="O31" s="60"/>
    </row>
    <row r="32" spans="2:15" x14ac:dyDescent="0.2">
      <c r="B32" s="140"/>
      <c r="C32" s="141"/>
      <c r="D32" s="142"/>
      <c r="E32" s="303"/>
      <c r="F32" s="144"/>
      <c r="G32" s="304"/>
      <c r="H32" s="305"/>
      <c r="I32" s="146"/>
      <c r="J32" s="146"/>
      <c r="K32" s="305"/>
      <c r="L32" s="146"/>
      <c r="M32" s="146"/>
      <c r="N32" s="305"/>
      <c r="O32" s="60"/>
    </row>
    <row r="33" spans="2:15" x14ac:dyDescent="0.2">
      <c r="B33" s="140"/>
      <c r="C33" s="141"/>
      <c r="D33" s="142"/>
      <c r="E33" s="143"/>
      <c r="F33" s="144"/>
      <c r="G33" s="145"/>
      <c r="H33" s="146"/>
      <c r="I33" s="146"/>
      <c r="J33" s="146"/>
      <c r="K33" s="146"/>
      <c r="L33" s="146"/>
      <c r="M33" s="146"/>
      <c r="N33" s="146"/>
      <c r="O33" s="60"/>
    </row>
    <row r="34" spans="2:15" s="6" customFormat="1" x14ac:dyDescent="0.2">
      <c r="B34" s="9"/>
      <c r="C34" s="155"/>
      <c r="D34" s="156"/>
      <c r="E34" s="157"/>
      <c r="F34" s="8"/>
      <c r="G34" s="158"/>
      <c r="H34" s="159"/>
      <c r="I34" s="159"/>
      <c r="J34" s="159"/>
      <c r="K34" s="159"/>
      <c r="L34" s="159"/>
      <c r="M34" s="159"/>
      <c r="N34" s="193">
        <f>+N20+N24+N31</f>
        <v>17934062500</v>
      </c>
      <c r="O34" s="9"/>
    </row>
    <row r="35" spans="2:15" x14ac:dyDescent="0.2">
      <c r="E35" s="165"/>
      <c r="G35" s="166"/>
    </row>
    <row r="36" spans="2:15" x14ac:dyDescent="0.2">
      <c r="E36" s="165"/>
      <c r="G36" s="166"/>
    </row>
    <row r="37" spans="2:15" x14ac:dyDescent="0.2">
      <c r="E37" s="165"/>
      <c r="G37" s="166"/>
    </row>
    <row r="38" spans="2:15" x14ac:dyDescent="0.2">
      <c r="E38" s="165"/>
      <c r="G38" s="166"/>
      <c r="H38" s="190"/>
      <c r="K38" s="176"/>
    </row>
    <row r="39" spans="2:15" x14ac:dyDescent="0.2">
      <c r="E39" s="165"/>
      <c r="G39" s="166"/>
    </row>
    <row r="40" spans="2:15" x14ac:dyDescent="0.2">
      <c r="E40" s="165"/>
      <c r="G40" s="166"/>
    </row>
    <row r="41" spans="2:15" x14ac:dyDescent="0.2">
      <c r="E41" s="165"/>
      <c r="G41" s="166"/>
      <c r="H41" s="191"/>
      <c r="I41" s="191"/>
      <c r="K41" s="191"/>
      <c r="L41" s="191"/>
    </row>
    <row r="42" spans="2:15" x14ac:dyDescent="0.2">
      <c r="E42" s="165"/>
      <c r="G42" s="166"/>
    </row>
    <row r="43" spans="2:15" x14ac:dyDescent="0.2">
      <c r="E43" s="165"/>
      <c r="G43" s="166"/>
    </row>
    <row r="44" spans="2:15" x14ac:dyDescent="0.2">
      <c r="E44" s="165"/>
      <c r="G44" s="166"/>
    </row>
    <row r="45" spans="2:15" x14ac:dyDescent="0.2">
      <c r="E45" s="165"/>
      <c r="G45" s="166"/>
    </row>
    <row r="46" spans="2:15" x14ac:dyDescent="0.2">
      <c r="E46" s="165"/>
      <c r="G46" s="166"/>
    </row>
    <row r="47" spans="2:15" x14ac:dyDescent="0.2">
      <c r="E47" s="165"/>
      <c r="G47" s="166"/>
    </row>
    <row r="48" spans="2:15" x14ac:dyDescent="0.2">
      <c r="E48" s="165"/>
      <c r="G48" s="166"/>
    </row>
    <row r="49" spans="3:14" x14ac:dyDescent="0.2">
      <c r="C49" s="192"/>
      <c r="D49"/>
      <c r="G49"/>
      <c r="H49"/>
      <c r="I49"/>
      <c r="J49"/>
      <c r="K49"/>
      <c r="L49"/>
      <c r="M49"/>
      <c r="N49"/>
    </row>
    <row r="50" spans="3:14" x14ac:dyDescent="0.2">
      <c r="C50" s="192"/>
      <c r="D50"/>
      <c r="G50"/>
      <c r="H50"/>
      <c r="I50"/>
      <c r="J50"/>
      <c r="K50"/>
      <c r="L50"/>
      <c r="M50"/>
      <c r="N50"/>
    </row>
    <row r="51" spans="3:14" x14ac:dyDescent="0.2">
      <c r="C51" s="192"/>
      <c r="D51"/>
      <c r="G51"/>
      <c r="H51"/>
      <c r="I51"/>
      <c r="J51"/>
      <c r="K51"/>
      <c r="L51"/>
      <c r="M51"/>
      <c r="N51"/>
    </row>
    <row r="52" spans="3:14" x14ac:dyDescent="0.2">
      <c r="C52" s="192"/>
      <c r="D52"/>
      <c r="G52"/>
      <c r="H52"/>
      <c r="I52"/>
      <c r="J52"/>
      <c r="K52"/>
      <c r="L52"/>
      <c r="M52"/>
      <c r="N52"/>
    </row>
    <row r="53" spans="3:14" x14ac:dyDescent="0.2">
      <c r="C53" s="192"/>
      <c r="D53"/>
      <c r="G53"/>
      <c r="H53"/>
      <c r="I53"/>
      <c r="J53"/>
      <c r="K53"/>
      <c r="L53"/>
      <c r="M53"/>
      <c r="N53"/>
    </row>
    <row r="54" spans="3:14" x14ac:dyDescent="0.2">
      <c r="C54" s="192"/>
      <c r="D54"/>
      <c r="G54"/>
      <c r="H54"/>
      <c r="I54"/>
      <c r="J54"/>
      <c r="K54"/>
      <c r="L54"/>
      <c r="M54"/>
      <c r="N54"/>
    </row>
    <row r="55" spans="3:14" x14ac:dyDescent="0.2">
      <c r="C55" s="192"/>
      <c r="D55"/>
      <c r="G55"/>
      <c r="H55"/>
      <c r="I55"/>
      <c r="J55"/>
      <c r="K55"/>
      <c r="L55"/>
      <c r="M55"/>
      <c r="N55"/>
    </row>
    <row r="56" spans="3:14" x14ac:dyDescent="0.2">
      <c r="C56" s="192"/>
      <c r="D56"/>
      <c r="G56"/>
      <c r="H56"/>
      <c r="I56"/>
      <c r="J56"/>
      <c r="K56"/>
      <c r="L56"/>
      <c r="M56"/>
      <c r="N56"/>
    </row>
    <row r="57" spans="3:14" x14ac:dyDescent="0.2">
      <c r="C57" s="192"/>
      <c r="D57"/>
      <c r="G57"/>
      <c r="H57"/>
      <c r="I57"/>
      <c r="J57"/>
      <c r="K57"/>
      <c r="L57"/>
      <c r="M57"/>
      <c r="N57"/>
    </row>
    <row r="58" spans="3:14" x14ac:dyDescent="0.2">
      <c r="C58" s="192"/>
      <c r="D58"/>
      <c r="G58"/>
      <c r="H58"/>
      <c r="I58"/>
      <c r="J58"/>
      <c r="K58"/>
      <c r="L58"/>
      <c r="M58"/>
      <c r="N58"/>
    </row>
  </sheetData>
  <mergeCells count="12">
    <mergeCell ref="L7:L8"/>
    <mergeCell ref="M7:M8"/>
    <mergeCell ref="N2:O4"/>
    <mergeCell ref="B6:B8"/>
    <mergeCell ref="C6:C8"/>
    <mergeCell ref="E6:F8"/>
    <mergeCell ref="G6:G8"/>
    <mergeCell ref="H6:K6"/>
    <mergeCell ref="L6:N6"/>
    <mergeCell ref="H7:H8"/>
    <mergeCell ref="I7:I8"/>
    <mergeCell ref="J7:J8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H241"/>
  <sheetViews>
    <sheetView zoomScale="89" workbookViewId="0">
      <pane xSplit="6" ySplit="10" topLeftCell="G164" activePane="bottomRight" state="frozen"/>
      <selection activeCell="AE10" sqref="AE10"/>
      <selection pane="topRight" activeCell="AE10" sqref="AE10"/>
      <selection pane="bottomLeft" activeCell="AE10" sqref="AE10"/>
      <selection pane="bottomRight" activeCell="AS214" sqref="AS214"/>
    </sheetView>
  </sheetViews>
  <sheetFormatPr defaultRowHeight="10.199999999999999" x14ac:dyDescent="0.2"/>
  <cols>
    <col min="1" max="1" width="2.85546875" customWidth="1"/>
    <col min="3" max="3" width="14.7109375" style="23" bestFit="1" customWidth="1"/>
    <col min="4" max="4" width="14.7109375" style="23" customWidth="1"/>
    <col min="5" max="5" width="2.85546875" customWidth="1"/>
    <col min="6" max="6" width="35.140625" customWidth="1"/>
    <col min="7" max="7" width="14" style="24" customWidth="1"/>
    <col min="8" max="8" width="17.42578125" style="25" hidden="1" customWidth="1"/>
    <col min="9" max="9" width="16.85546875" style="25" hidden="1" customWidth="1"/>
    <col min="10" max="10" width="15.7109375" style="25" hidden="1" customWidth="1"/>
    <col min="11" max="13" width="18.42578125" style="25" hidden="1" customWidth="1"/>
    <col min="14" max="14" width="18.42578125" style="25" customWidth="1"/>
    <col min="15" max="16" width="7.85546875" customWidth="1"/>
    <col min="17" max="17" width="8.28515625" customWidth="1"/>
    <col min="18" max="20" width="7.85546875" customWidth="1"/>
    <col min="21" max="21" width="15" customWidth="1"/>
    <col min="22" max="22" width="8.42578125" style="25" customWidth="1"/>
    <col min="23" max="23" width="8.140625" style="25" customWidth="1"/>
    <col min="24" max="26" width="16.140625" style="25" customWidth="1"/>
    <col min="27" max="27" width="9.140625" style="25" customWidth="1"/>
    <col min="28" max="28" width="8.7109375" style="25" customWidth="1"/>
    <col min="29" max="31" width="16.140625" style="25" customWidth="1"/>
    <col min="32" max="32" width="10" style="25" customWidth="1"/>
    <col min="33" max="33" width="10.7109375" style="25" customWidth="1"/>
    <col min="34" max="36" width="16.140625" style="25" customWidth="1"/>
    <col min="37" max="37" width="10" style="25" customWidth="1"/>
    <col min="38" max="38" width="10.42578125" style="25" customWidth="1"/>
    <col min="39" max="41" width="16.140625" style="25" customWidth="1"/>
    <col min="42" max="42" width="9.42578125" style="25" customWidth="1"/>
    <col min="43" max="43" width="8.85546875" style="25" customWidth="1"/>
    <col min="44" max="46" width="16.140625" style="25" customWidth="1"/>
    <col min="47" max="47" width="2" customWidth="1"/>
    <col min="48" max="48" width="15.7109375" customWidth="1"/>
    <col min="49" max="60" width="13.85546875" customWidth="1"/>
  </cols>
  <sheetData>
    <row r="1" spans="2:60" ht="10.8" thickBot="1" x14ac:dyDescent="0.25"/>
    <row r="2" spans="2:60" ht="10.5" customHeight="1" x14ac:dyDescent="0.2">
      <c r="B2" s="14" t="s">
        <v>259</v>
      </c>
      <c r="C2" s="14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spans="2:60" ht="10.5" customHeight="1" x14ac:dyDescent="0.2">
      <c r="B3" s="1" t="s">
        <v>23</v>
      </c>
      <c r="C3" s="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</row>
    <row r="4" spans="2:60" ht="11.25" customHeight="1" thickBot="1" x14ac:dyDescent="0.25">
      <c r="B4" s="4" t="s">
        <v>24</v>
      </c>
      <c r="C4" s="4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2:60" x14ac:dyDescent="0.2"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2:60" s="6" customFormat="1" ht="10.5" customHeight="1" x14ac:dyDescent="0.2">
      <c r="B6" s="391" t="s">
        <v>7</v>
      </c>
      <c r="C6" s="402" t="s">
        <v>29</v>
      </c>
      <c r="D6" s="444" t="s">
        <v>111</v>
      </c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 t="s">
        <v>32</v>
      </c>
      <c r="M6" s="419"/>
      <c r="N6" s="420"/>
      <c r="O6" s="421" t="s">
        <v>33</v>
      </c>
      <c r="P6" s="423"/>
      <c r="Q6" s="396" t="s">
        <v>34</v>
      </c>
      <c r="R6" s="397"/>
      <c r="S6" s="396" t="s">
        <v>35</v>
      </c>
      <c r="T6" s="397"/>
      <c r="U6" s="392" t="s">
        <v>36</v>
      </c>
      <c r="V6" s="437">
        <v>44926</v>
      </c>
      <c r="W6" s="438"/>
      <c r="X6" s="438"/>
      <c r="Y6" s="438"/>
      <c r="Z6" s="439"/>
      <c r="AA6" s="437">
        <v>45291</v>
      </c>
      <c r="AB6" s="438"/>
      <c r="AC6" s="438"/>
      <c r="AD6" s="438"/>
      <c r="AE6" s="439"/>
      <c r="AF6" s="437">
        <v>45657</v>
      </c>
      <c r="AG6" s="438"/>
      <c r="AH6" s="438"/>
      <c r="AI6" s="438"/>
      <c r="AJ6" s="439"/>
      <c r="AK6" s="437">
        <v>46022</v>
      </c>
      <c r="AL6" s="438"/>
      <c r="AM6" s="438"/>
      <c r="AN6" s="438"/>
      <c r="AO6" s="439"/>
      <c r="AP6" s="437">
        <v>46387</v>
      </c>
      <c r="AQ6" s="438"/>
      <c r="AR6" s="438"/>
      <c r="AS6" s="438"/>
      <c r="AT6" s="439"/>
      <c r="AU6" s="42"/>
    </row>
    <row r="7" spans="2:60" s="6" customFormat="1" ht="9.9" customHeight="1" x14ac:dyDescent="0.2">
      <c r="B7" s="391"/>
      <c r="C7" s="402"/>
      <c r="D7" s="445"/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394" t="s">
        <v>43</v>
      </c>
      <c r="P7" s="394" t="s">
        <v>42</v>
      </c>
      <c r="Q7" s="394" t="s">
        <v>42</v>
      </c>
      <c r="R7" s="394" t="s">
        <v>43</v>
      </c>
      <c r="S7" s="394" t="s">
        <v>42</v>
      </c>
      <c r="T7" s="394" t="s">
        <v>43</v>
      </c>
      <c r="U7" s="392"/>
      <c r="V7" s="440" t="s">
        <v>44</v>
      </c>
      <c r="W7" s="277"/>
      <c r="X7" s="431" t="s">
        <v>45</v>
      </c>
      <c r="Y7" s="442" t="s">
        <v>25</v>
      </c>
      <c r="Z7" s="431" t="s">
        <v>26</v>
      </c>
      <c r="AA7" s="440" t="s">
        <v>44</v>
      </c>
      <c r="AB7" s="277"/>
      <c r="AC7" s="431" t="s">
        <v>45</v>
      </c>
      <c r="AD7" s="442" t="s">
        <v>25</v>
      </c>
      <c r="AE7" s="431" t="s">
        <v>26</v>
      </c>
      <c r="AF7" s="440" t="s">
        <v>44</v>
      </c>
      <c r="AG7" s="277"/>
      <c r="AH7" s="431" t="s">
        <v>45</v>
      </c>
      <c r="AI7" s="442" t="s">
        <v>25</v>
      </c>
      <c r="AJ7" s="431" t="s">
        <v>26</v>
      </c>
      <c r="AK7" s="440" t="s">
        <v>44</v>
      </c>
      <c r="AL7" s="350"/>
      <c r="AM7" s="431" t="s">
        <v>45</v>
      </c>
      <c r="AN7" s="442" t="s">
        <v>25</v>
      </c>
      <c r="AO7" s="431" t="s">
        <v>26</v>
      </c>
      <c r="AP7" s="440" t="s">
        <v>44</v>
      </c>
      <c r="AQ7" s="388"/>
      <c r="AR7" s="431" t="s">
        <v>45</v>
      </c>
      <c r="AS7" s="442" t="s">
        <v>25</v>
      </c>
      <c r="AT7" s="431" t="s">
        <v>26</v>
      </c>
      <c r="AU7" s="42"/>
      <c r="AV7" s="197" t="s">
        <v>272</v>
      </c>
      <c r="AW7" s="197" t="s">
        <v>260</v>
      </c>
      <c r="AX7" s="197" t="s">
        <v>261</v>
      </c>
      <c r="AY7" s="197" t="s">
        <v>262</v>
      </c>
      <c r="AZ7" s="197" t="s">
        <v>263</v>
      </c>
      <c r="BA7" s="197" t="s">
        <v>264</v>
      </c>
      <c r="BB7" s="197" t="s">
        <v>265</v>
      </c>
      <c r="BC7" s="197" t="s">
        <v>266</v>
      </c>
      <c r="BD7" s="197" t="s">
        <v>267</v>
      </c>
      <c r="BE7" s="197" t="s">
        <v>268</v>
      </c>
      <c r="BF7" s="197" t="s">
        <v>269</v>
      </c>
      <c r="BG7" s="197" t="s">
        <v>270</v>
      </c>
      <c r="BH7" s="197" t="s">
        <v>271</v>
      </c>
    </row>
    <row r="8" spans="2:60" s="6" customFormat="1" x14ac:dyDescent="0.2">
      <c r="B8" s="391"/>
      <c r="C8" s="402"/>
      <c r="D8" s="446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395"/>
      <c r="P8" s="395"/>
      <c r="Q8" s="395"/>
      <c r="R8" s="395"/>
      <c r="S8" s="395"/>
      <c r="T8" s="395"/>
      <c r="U8" s="392"/>
      <c r="V8" s="441"/>
      <c r="W8" s="278"/>
      <c r="X8" s="433"/>
      <c r="Y8" s="443"/>
      <c r="Z8" s="433"/>
      <c r="AA8" s="441"/>
      <c r="AB8" s="278"/>
      <c r="AC8" s="433"/>
      <c r="AD8" s="443"/>
      <c r="AE8" s="433"/>
      <c r="AF8" s="441"/>
      <c r="AG8" s="278"/>
      <c r="AH8" s="433"/>
      <c r="AI8" s="443"/>
      <c r="AJ8" s="433"/>
      <c r="AK8" s="441"/>
      <c r="AL8" s="351"/>
      <c r="AM8" s="433"/>
      <c r="AN8" s="443"/>
      <c r="AO8" s="433"/>
      <c r="AP8" s="441"/>
      <c r="AQ8" s="389"/>
      <c r="AR8" s="433"/>
      <c r="AS8" s="443"/>
      <c r="AT8" s="433"/>
      <c r="AU8" s="42"/>
      <c r="AV8" s="198">
        <v>2026</v>
      </c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</row>
    <row r="9" spans="2:60" x14ac:dyDescent="0.2">
      <c r="B9" s="52"/>
      <c r="C9" s="5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2"/>
      <c r="P9" s="52"/>
      <c r="Q9" s="52"/>
      <c r="R9" s="52"/>
      <c r="S9" s="52"/>
      <c r="T9" s="52"/>
      <c r="U9" s="52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</row>
    <row r="10" spans="2:60" s="6" customFormat="1" x14ac:dyDescent="0.2">
      <c r="B10" s="61"/>
      <c r="C10" s="62" t="s">
        <v>14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42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</row>
    <row r="11" spans="2:60" x14ac:dyDescent="0.2">
      <c r="B11" s="68"/>
      <c r="C11" s="6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8"/>
      <c r="P11" s="68"/>
      <c r="Q11" s="68"/>
      <c r="R11" s="68"/>
      <c r="S11" s="68"/>
      <c r="T11" s="68"/>
      <c r="U11" s="68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</row>
    <row r="12" spans="2:60" x14ac:dyDescent="0.2">
      <c r="B12" s="68"/>
      <c r="C12" s="89">
        <v>39157</v>
      </c>
      <c r="D12" s="70"/>
      <c r="E12" s="71" t="s">
        <v>112</v>
      </c>
      <c r="F12" s="72"/>
      <c r="G12" s="90">
        <v>0.25</v>
      </c>
      <c r="H12" s="74">
        <v>9000000</v>
      </c>
      <c r="I12" s="74"/>
      <c r="J12" s="74"/>
      <c r="K12" s="74">
        <f t="shared" ref="K12:K75" si="0">H12+I12-J12</f>
        <v>9000000</v>
      </c>
      <c r="L12" s="74"/>
      <c r="M12" s="74"/>
      <c r="N12" s="74">
        <f t="shared" ref="N12:N75" si="1">K12+L12-M12</f>
        <v>9000000</v>
      </c>
      <c r="O12" s="91">
        <f t="shared" ref="O12:O75" si="2">100%/G12</f>
        <v>4</v>
      </c>
      <c r="P12" s="72">
        <f>O12*12</f>
        <v>48</v>
      </c>
      <c r="Q12" s="72">
        <f t="shared" ref="Q12:Q75" si="3">MONTH(C12)</f>
        <v>3</v>
      </c>
      <c r="R12" s="92">
        <f t="shared" ref="R12:R75" si="4">YEAR(C12)</f>
        <v>2007</v>
      </c>
      <c r="S12" s="93">
        <f t="shared" ref="S12:S75" si="5">IF(Q12=1, 12, Q12-1)</f>
        <v>2</v>
      </c>
      <c r="T12" s="94">
        <f t="shared" ref="T12:T75" si="6">IF(Q12=1,R12+O12-1,R12+O12)</f>
        <v>2011</v>
      </c>
      <c r="U12" s="96">
        <f>K12/P12</f>
        <v>187500</v>
      </c>
      <c r="V12" s="73">
        <v>0</v>
      </c>
      <c r="W12" s="73">
        <v>48</v>
      </c>
      <c r="X12" s="96">
        <f t="shared" ref="X12:X43" si="7">+V12*U12</f>
        <v>0</v>
      </c>
      <c r="Y12" s="96">
        <v>9000000</v>
      </c>
      <c r="Z12" s="96">
        <f t="shared" ref="Z12:Z43" si="8">N12-Y12</f>
        <v>0</v>
      </c>
      <c r="AA12" s="73">
        <f t="shared" ref="AA12:AA43" si="9">IF(W12&gt;=P12-12,P12-W12,12)</f>
        <v>0</v>
      </c>
      <c r="AB12" s="73">
        <f>+W12+AA12</f>
        <v>48</v>
      </c>
      <c r="AC12" s="96">
        <f t="shared" ref="AC12:AC43" si="10">+AA12*U12</f>
        <v>0</v>
      </c>
      <c r="AD12" s="96">
        <f>Y12+AC12</f>
        <v>9000000</v>
      </c>
      <c r="AE12" s="96">
        <f t="shared" ref="AE12:AE43" si="11">N12-AD12</f>
        <v>0</v>
      </c>
      <c r="AF12" s="73">
        <f>IF(AB12&gt;=P12-12,P12-AB12,12)</f>
        <v>0</v>
      </c>
      <c r="AG12" s="73">
        <f>+AB12+AF12</f>
        <v>48</v>
      </c>
      <c r="AH12" s="96">
        <f>+AF12*U12</f>
        <v>0</v>
      </c>
      <c r="AI12" s="96">
        <f t="shared" ref="AI12:AI43" si="12">AD12+AH12</f>
        <v>9000000</v>
      </c>
      <c r="AJ12" s="96">
        <f t="shared" ref="AJ12:AJ43" si="13">N12-AI12</f>
        <v>0</v>
      </c>
      <c r="AK12" s="73">
        <f>IF(AG12&gt;=P12-12,P12-AG12,12)</f>
        <v>0</v>
      </c>
      <c r="AL12" s="73">
        <f>+AG12+AK12</f>
        <v>48</v>
      </c>
      <c r="AM12" s="96">
        <f>+AK12*U12</f>
        <v>0</v>
      </c>
      <c r="AN12" s="96">
        <f>AI12+AM12</f>
        <v>9000000</v>
      </c>
      <c r="AO12" s="96">
        <f>N12-AN12</f>
        <v>0</v>
      </c>
      <c r="AP12" s="73">
        <f>IF(AL12&gt;=P12-12,P12-AL12,12)</f>
        <v>0</v>
      </c>
      <c r="AQ12" s="73">
        <f>+AL12+AP12</f>
        <v>48</v>
      </c>
      <c r="AR12" s="96">
        <f>+AP12*Z12</f>
        <v>0</v>
      </c>
      <c r="AS12" s="96">
        <f>AN12+AR12</f>
        <v>9000000</v>
      </c>
      <c r="AT12" s="96">
        <f>N12-AS12</f>
        <v>0</v>
      </c>
      <c r="AU12" s="60"/>
      <c r="AV12" s="202">
        <f>SUM(AW12:BH12)</f>
        <v>0</v>
      </c>
      <c r="AW12" s="203">
        <f t="shared" ref="AW12:AW43" si="14">+U12*0</f>
        <v>0</v>
      </c>
      <c r="AX12" s="203">
        <f t="shared" ref="AX12:AX43" si="15">+U12*0</f>
        <v>0</v>
      </c>
      <c r="AY12" s="203">
        <f t="shared" ref="AY12:AY43" si="16">+U12*0</f>
        <v>0</v>
      </c>
      <c r="AZ12" s="203">
        <f t="shared" ref="AZ12:AZ43" si="17">+U12*0</f>
        <v>0</v>
      </c>
      <c r="BA12" s="203">
        <f t="shared" ref="BA12:BA43" si="18">+U12*0</f>
        <v>0</v>
      </c>
      <c r="BB12" s="203">
        <f t="shared" ref="BB12:BB43" si="19">+U12*0</f>
        <v>0</v>
      </c>
      <c r="BC12" s="203">
        <f t="shared" ref="BC12:BC43" si="20">+U12*0</f>
        <v>0</v>
      </c>
      <c r="BD12" s="203">
        <f t="shared" ref="BD12:BD43" si="21">+U12*0</f>
        <v>0</v>
      </c>
      <c r="BE12" s="203">
        <f t="shared" ref="BE12:BE43" si="22">+U12*0</f>
        <v>0</v>
      </c>
      <c r="BF12" s="203">
        <f t="shared" ref="BF12:BF43" si="23">+U12*0</f>
        <v>0</v>
      </c>
      <c r="BG12" s="203">
        <f t="shared" ref="BG12:BG43" si="24">+U12*0</f>
        <v>0</v>
      </c>
      <c r="BH12" s="203">
        <f t="shared" ref="BH12:BH43" si="25">+U12*0</f>
        <v>0</v>
      </c>
    </row>
    <row r="13" spans="2:60" x14ac:dyDescent="0.2">
      <c r="B13" s="68"/>
      <c r="C13" s="89">
        <v>39157</v>
      </c>
      <c r="D13" s="70"/>
      <c r="E13" s="71" t="s">
        <v>113</v>
      </c>
      <c r="F13" s="72"/>
      <c r="G13" s="90">
        <v>0.25</v>
      </c>
      <c r="H13" s="74">
        <v>140000</v>
      </c>
      <c r="I13" s="74"/>
      <c r="J13" s="74"/>
      <c r="K13" s="74">
        <f t="shared" si="0"/>
        <v>140000</v>
      </c>
      <c r="L13" s="74"/>
      <c r="M13" s="74"/>
      <c r="N13" s="74">
        <f t="shared" si="1"/>
        <v>140000</v>
      </c>
      <c r="O13" s="91">
        <f t="shared" si="2"/>
        <v>4</v>
      </c>
      <c r="P13" s="72">
        <f t="shared" ref="P13:P29" si="26">O13*12</f>
        <v>48</v>
      </c>
      <c r="Q13" s="72">
        <f t="shared" si="3"/>
        <v>3</v>
      </c>
      <c r="R13" s="92">
        <f t="shared" si="4"/>
        <v>2007</v>
      </c>
      <c r="S13" s="93">
        <f t="shared" si="5"/>
        <v>2</v>
      </c>
      <c r="T13" s="94">
        <f t="shared" si="6"/>
        <v>2011</v>
      </c>
      <c r="U13" s="96">
        <f t="shared" ref="U13:U29" si="27">K13/P13</f>
        <v>2916.6666666666665</v>
      </c>
      <c r="V13" s="73">
        <v>0</v>
      </c>
      <c r="W13" s="73">
        <v>48</v>
      </c>
      <c r="X13" s="96">
        <f t="shared" si="7"/>
        <v>0</v>
      </c>
      <c r="Y13" s="96">
        <v>140000</v>
      </c>
      <c r="Z13" s="96">
        <f t="shared" si="8"/>
        <v>0</v>
      </c>
      <c r="AA13" s="73">
        <f t="shared" si="9"/>
        <v>0</v>
      </c>
      <c r="AB13" s="73">
        <f t="shared" ref="AB13:AB76" si="28">+W13+AA13</f>
        <v>48</v>
      </c>
      <c r="AC13" s="96">
        <f t="shared" si="10"/>
        <v>0</v>
      </c>
      <c r="AD13" s="96">
        <f t="shared" ref="AD13:AD76" si="29">Y13+AC13</f>
        <v>140000</v>
      </c>
      <c r="AE13" s="96">
        <f t="shared" si="11"/>
        <v>0</v>
      </c>
      <c r="AF13" s="73">
        <f>IF(AB13&gt;=P13-12,P13-AB13,12)</f>
        <v>0</v>
      </c>
      <c r="AG13" s="73">
        <f t="shared" ref="AG13:AG76" si="30">+AB13+AF13</f>
        <v>48</v>
      </c>
      <c r="AH13" s="96">
        <f t="shared" ref="AH13:AH76" si="31">+AF13*U13</f>
        <v>0</v>
      </c>
      <c r="AI13" s="96">
        <f t="shared" si="12"/>
        <v>140000</v>
      </c>
      <c r="AJ13" s="96">
        <f t="shared" si="13"/>
        <v>0</v>
      </c>
      <c r="AK13" s="73">
        <f t="shared" ref="AK13:AK76" si="32">IF(AG13&gt;=P13-12,P13-AG13,12)</f>
        <v>0</v>
      </c>
      <c r="AL13" s="73">
        <f t="shared" ref="AL13:AL76" si="33">+AG13+AK13</f>
        <v>48</v>
      </c>
      <c r="AM13" s="96">
        <f t="shared" ref="AM13:AM76" si="34">+AK13*U13</f>
        <v>0</v>
      </c>
      <c r="AN13" s="96">
        <f t="shared" ref="AN13:AN76" si="35">AI13+AM13</f>
        <v>140000</v>
      </c>
      <c r="AO13" s="96">
        <f t="shared" ref="AO13:AO76" si="36">N13-AN13</f>
        <v>0</v>
      </c>
      <c r="AP13" s="73">
        <f t="shared" ref="AP13:AP76" si="37">IF(AL13&gt;=P13-12,P13-AL13,12)</f>
        <v>0</v>
      </c>
      <c r="AQ13" s="73">
        <f t="shared" ref="AQ13:AQ76" si="38">+AL13+AP13</f>
        <v>48</v>
      </c>
      <c r="AR13" s="96">
        <f t="shared" ref="AR13:AR76" si="39">+AP13*Z13</f>
        <v>0</v>
      </c>
      <c r="AS13" s="96">
        <f t="shared" ref="AS13:AS76" si="40">AN13+AR13</f>
        <v>140000</v>
      </c>
      <c r="AT13" s="96">
        <f t="shared" ref="AT13:AT76" si="41">N13-AS13</f>
        <v>0</v>
      </c>
      <c r="AU13" s="60"/>
      <c r="AV13" s="202">
        <f t="shared" ref="AV13:AV76" si="42">SUM(AW13:BH13)</f>
        <v>0</v>
      </c>
      <c r="AW13" s="203">
        <f t="shared" si="14"/>
        <v>0</v>
      </c>
      <c r="AX13" s="203">
        <f t="shared" si="15"/>
        <v>0</v>
      </c>
      <c r="AY13" s="203">
        <f t="shared" si="16"/>
        <v>0</v>
      </c>
      <c r="AZ13" s="203">
        <f t="shared" si="17"/>
        <v>0</v>
      </c>
      <c r="BA13" s="203">
        <f t="shared" si="18"/>
        <v>0</v>
      </c>
      <c r="BB13" s="203">
        <f t="shared" si="19"/>
        <v>0</v>
      </c>
      <c r="BC13" s="203">
        <f t="shared" si="20"/>
        <v>0</v>
      </c>
      <c r="BD13" s="203">
        <f t="shared" si="21"/>
        <v>0</v>
      </c>
      <c r="BE13" s="203">
        <f t="shared" si="22"/>
        <v>0</v>
      </c>
      <c r="BF13" s="203">
        <f t="shared" si="23"/>
        <v>0</v>
      </c>
      <c r="BG13" s="203">
        <f t="shared" si="24"/>
        <v>0</v>
      </c>
      <c r="BH13" s="203">
        <f t="shared" si="25"/>
        <v>0</v>
      </c>
    </row>
    <row r="14" spans="2:60" x14ac:dyDescent="0.2">
      <c r="B14" s="68"/>
      <c r="C14" s="89">
        <v>39157</v>
      </c>
      <c r="D14" s="70"/>
      <c r="E14" s="71" t="s">
        <v>114</v>
      </c>
      <c r="F14" s="72"/>
      <c r="G14" s="90">
        <v>0.25</v>
      </c>
      <c r="H14" s="74">
        <v>136000</v>
      </c>
      <c r="I14" s="74"/>
      <c r="J14" s="74"/>
      <c r="K14" s="74">
        <f t="shared" si="0"/>
        <v>136000</v>
      </c>
      <c r="L14" s="74"/>
      <c r="M14" s="74"/>
      <c r="N14" s="74">
        <f t="shared" si="1"/>
        <v>136000</v>
      </c>
      <c r="O14" s="91">
        <f t="shared" si="2"/>
        <v>4</v>
      </c>
      <c r="P14" s="72">
        <f t="shared" si="26"/>
        <v>48</v>
      </c>
      <c r="Q14" s="72">
        <f t="shared" si="3"/>
        <v>3</v>
      </c>
      <c r="R14" s="92">
        <f t="shared" si="4"/>
        <v>2007</v>
      </c>
      <c r="S14" s="93">
        <f t="shared" si="5"/>
        <v>2</v>
      </c>
      <c r="T14" s="94">
        <f t="shared" si="6"/>
        <v>2011</v>
      </c>
      <c r="U14" s="96">
        <f t="shared" si="27"/>
        <v>2833.3333333333335</v>
      </c>
      <c r="V14" s="73">
        <v>0</v>
      </c>
      <c r="W14" s="73">
        <v>48</v>
      </c>
      <c r="X14" s="96">
        <f t="shared" si="7"/>
        <v>0</v>
      </c>
      <c r="Y14" s="96">
        <v>136000</v>
      </c>
      <c r="Z14" s="96">
        <f t="shared" si="8"/>
        <v>0</v>
      </c>
      <c r="AA14" s="73">
        <f t="shared" si="9"/>
        <v>0</v>
      </c>
      <c r="AB14" s="73">
        <f t="shared" si="28"/>
        <v>48</v>
      </c>
      <c r="AC14" s="96">
        <f t="shared" si="10"/>
        <v>0</v>
      </c>
      <c r="AD14" s="96">
        <f t="shared" si="29"/>
        <v>136000</v>
      </c>
      <c r="AE14" s="96">
        <f t="shared" si="11"/>
        <v>0</v>
      </c>
      <c r="AF14" s="73">
        <f t="shared" ref="AF14:AF77" si="43">IF(AB14&gt;=P14-12,P14-AB14,12)</f>
        <v>0</v>
      </c>
      <c r="AG14" s="73">
        <f t="shared" si="30"/>
        <v>48</v>
      </c>
      <c r="AH14" s="96">
        <f t="shared" si="31"/>
        <v>0</v>
      </c>
      <c r="AI14" s="96">
        <f t="shared" si="12"/>
        <v>136000</v>
      </c>
      <c r="AJ14" s="96">
        <f t="shared" si="13"/>
        <v>0</v>
      </c>
      <c r="AK14" s="73">
        <f t="shared" si="32"/>
        <v>0</v>
      </c>
      <c r="AL14" s="73">
        <f t="shared" si="33"/>
        <v>48</v>
      </c>
      <c r="AM14" s="96">
        <f t="shared" si="34"/>
        <v>0</v>
      </c>
      <c r="AN14" s="96">
        <f t="shared" si="35"/>
        <v>136000</v>
      </c>
      <c r="AO14" s="96">
        <f t="shared" si="36"/>
        <v>0</v>
      </c>
      <c r="AP14" s="73">
        <f t="shared" si="37"/>
        <v>0</v>
      </c>
      <c r="AQ14" s="73">
        <f t="shared" si="38"/>
        <v>48</v>
      </c>
      <c r="AR14" s="96">
        <f t="shared" si="39"/>
        <v>0</v>
      </c>
      <c r="AS14" s="96">
        <f t="shared" si="40"/>
        <v>136000</v>
      </c>
      <c r="AT14" s="96">
        <f t="shared" si="41"/>
        <v>0</v>
      </c>
      <c r="AU14" s="60"/>
      <c r="AV14" s="202">
        <f t="shared" si="42"/>
        <v>0</v>
      </c>
      <c r="AW14" s="203">
        <f t="shared" si="14"/>
        <v>0</v>
      </c>
      <c r="AX14" s="203">
        <f t="shared" si="15"/>
        <v>0</v>
      </c>
      <c r="AY14" s="203">
        <f t="shared" si="16"/>
        <v>0</v>
      </c>
      <c r="AZ14" s="203">
        <f t="shared" si="17"/>
        <v>0</v>
      </c>
      <c r="BA14" s="203">
        <f t="shared" si="18"/>
        <v>0</v>
      </c>
      <c r="BB14" s="203">
        <f t="shared" si="19"/>
        <v>0</v>
      </c>
      <c r="BC14" s="203">
        <f t="shared" si="20"/>
        <v>0</v>
      </c>
      <c r="BD14" s="203">
        <f t="shared" si="21"/>
        <v>0</v>
      </c>
      <c r="BE14" s="203">
        <f t="shared" si="22"/>
        <v>0</v>
      </c>
      <c r="BF14" s="203">
        <f t="shared" si="23"/>
        <v>0</v>
      </c>
      <c r="BG14" s="203">
        <f t="shared" si="24"/>
        <v>0</v>
      </c>
      <c r="BH14" s="203">
        <f t="shared" si="25"/>
        <v>0</v>
      </c>
    </row>
    <row r="15" spans="2:60" x14ac:dyDescent="0.2">
      <c r="B15" s="68"/>
      <c r="C15" s="89">
        <v>39157</v>
      </c>
      <c r="D15" s="70"/>
      <c r="E15" s="71" t="s">
        <v>115</v>
      </c>
      <c r="F15" s="72"/>
      <c r="G15" s="90">
        <v>0.25</v>
      </c>
      <c r="H15" s="74">
        <v>4300000</v>
      </c>
      <c r="I15" s="74"/>
      <c r="J15" s="74"/>
      <c r="K15" s="74">
        <f t="shared" si="0"/>
        <v>4300000</v>
      </c>
      <c r="L15" s="74"/>
      <c r="M15" s="74"/>
      <c r="N15" s="74">
        <f t="shared" si="1"/>
        <v>4300000</v>
      </c>
      <c r="O15" s="91">
        <f t="shared" si="2"/>
        <v>4</v>
      </c>
      <c r="P15" s="72">
        <f t="shared" si="26"/>
        <v>48</v>
      </c>
      <c r="Q15" s="72">
        <f t="shared" si="3"/>
        <v>3</v>
      </c>
      <c r="R15" s="92">
        <f t="shared" si="4"/>
        <v>2007</v>
      </c>
      <c r="S15" s="93">
        <f t="shared" si="5"/>
        <v>2</v>
      </c>
      <c r="T15" s="94">
        <f t="shared" si="6"/>
        <v>2011</v>
      </c>
      <c r="U15" s="96">
        <f t="shared" si="27"/>
        <v>89583.333333333328</v>
      </c>
      <c r="V15" s="73">
        <v>0</v>
      </c>
      <c r="W15" s="73">
        <v>48</v>
      </c>
      <c r="X15" s="96">
        <f t="shared" si="7"/>
        <v>0</v>
      </c>
      <c r="Y15" s="96">
        <v>4300000</v>
      </c>
      <c r="Z15" s="96">
        <f t="shared" si="8"/>
        <v>0</v>
      </c>
      <c r="AA15" s="73">
        <f t="shared" si="9"/>
        <v>0</v>
      </c>
      <c r="AB15" s="73">
        <f t="shared" si="28"/>
        <v>48</v>
      </c>
      <c r="AC15" s="96">
        <f t="shared" si="10"/>
        <v>0</v>
      </c>
      <c r="AD15" s="96">
        <f t="shared" si="29"/>
        <v>4300000</v>
      </c>
      <c r="AE15" s="96">
        <f t="shared" si="11"/>
        <v>0</v>
      </c>
      <c r="AF15" s="73">
        <f t="shared" si="43"/>
        <v>0</v>
      </c>
      <c r="AG15" s="73">
        <f t="shared" si="30"/>
        <v>48</v>
      </c>
      <c r="AH15" s="96">
        <f t="shared" si="31"/>
        <v>0</v>
      </c>
      <c r="AI15" s="96">
        <f t="shared" si="12"/>
        <v>4300000</v>
      </c>
      <c r="AJ15" s="96">
        <f t="shared" si="13"/>
        <v>0</v>
      </c>
      <c r="AK15" s="73">
        <f t="shared" si="32"/>
        <v>0</v>
      </c>
      <c r="AL15" s="73">
        <f t="shared" si="33"/>
        <v>48</v>
      </c>
      <c r="AM15" s="96">
        <f t="shared" si="34"/>
        <v>0</v>
      </c>
      <c r="AN15" s="96">
        <f t="shared" si="35"/>
        <v>4300000</v>
      </c>
      <c r="AO15" s="96">
        <f t="shared" si="36"/>
        <v>0</v>
      </c>
      <c r="AP15" s="73">
        <f t="shared" si="37"/>
        <v>0</v>
      </c>
      <c r="AQ15" s="73">
        <f t="shared" si="38"/>
        <v>48</v>
      </c>
      <c r="AR15" s="96">
        <f t="shared" si="39"/>
        <v>0</v>
      </c>
      <c r="AS15" s="96">
        <f t="shared" si="40"/>
        <v>4300000</v>
      </c>
      <c r="AT15" s="96">
        <f t="shared" si="41"/>
        <v>0</v>
      </c>
      <c r="AU15" s="60"/>
      <c r="AV15" s="202">
        <f t="shared" si="42"/>
        <v>0</v>
      </c>
      <c r="AW15" s="203">
        <f t="shared" si="14"/>
        <v>0</v>
      </c>
      <c r="AX15" s="203">
        <f t="shared" si="15"/>
        <v>0</v>
      </c>
      <c r="AY15" s="203">
        <f t="shared" si="16"/>
        <v>0</v>
      </c>
      <c r="AZ15" s="203">
        <f t="shared" si="17"/>
        <v>0</v>
      </c>
      <c r="BA15" s="203">
        <f t="shared" si="18"/>
        <v>0</v>
      </c>
      <c r="BB15" s="203">
        <f t="shared" si="19"/>
        <v>0</v>
      </c>
      <c r="BC15" s="203">
        <f t="shared" si="20"/>
        <v>0</v>
      </c>
      <c r="BD15" s="203">
        <f t="shared" si="21"/>
        <v>0</v>
      </c>
      <c r="BE15" s="203">
        <f t="shared" si="22"/>
        <v>0</v>
      </c>
      <c r="BF15" s="203">
        <f t="shared" si="23"/>
        <v>0</v>
      </c>
      <c r="BG15" s="203">
        <f t="shared" si="24"/>
        <v>0</v>
      </c>
      <c r="BH15" s="203">
        <f t="shared" si="25"/>
        <v>0</v>
      </c>
    </row>
    <row r="16" spans="2:60" x14ac:dyDescent="0.2">
      <c r="B16" s="68"/>
      <c r="C16" s="89">
        <v>39157</v>
      </c>
      <c r="D16" s="70"/>
      <c r="E16" s="71" t="s">
        <v>116</v>
      </c>
      <c r="F16" s="72"/>
      <c r="G16" s="90">
        <v>0.25</v>
      </c>
      <c r="H16" s="74">
        <v>618250</v>
      </c>
      <c r="I16" s="74"/>
      <c r="J16" s="74"/>
      <c r="K16" s="74">
        <f t="shared" si="0"/>
        <v>618250</v>
      </c>
      <c r="L16" s="74"/>
      <c r="M16" s="74"/>
      <c r="N16" s="74">
        <f t="shared" si="1"/>
        <v>618250</v>
      </c>
      <c r="O16" s="91">
        <f t="shared" si="2"/>
        <v>4</v>
      </c>
      <c r="P16" s="72">
        <f t="shared" si="26"/>
        <v>48</v>
      </c>
      <c r="Q16" s="72">
        <f t="shared" si="3"/>
        <v>3</v>
      </c>
      <c r="R16" s="92">
        <f t="shared" si="4"/>
        <v>2007</v>
      </c>
      <c r="S16" s="93">
        <f t="shared" si="5"/>
        <v>2</v>
      </c>
      <c r="T16" s="94">
        <f t="shared" si="6"/>
        <v>2011</v>
      </c>
      <c r="U16" s="96">
        <f t="shared" si="27"/>
        <v>12880.208333333334</v>
      </c>
      <c r="V16" s="73">
        <v>0</v>
      </c>
      <c r="W16" s="73">
        <v>48</v>
      </c>
      <c r="X16" s="96">
        <f t="shared" si="7"/>
        <v>0</v>
      </c>
      <c r="Y16" s="96">
        <v>618250</v>
      </c>
      <c r="Z16" s="96">
        <f t="shared" si="8"/>
        <v>0</v>
      </c>
      <c r="AA16" s="73">
        <f t="shared" si="9"/>
        <v>0</v>
      </c>
      <c r="AB16" s="73">
        <f t="shared" si="28"/>
        <v>48</v>
      </c>
      <c r="AC16" s="96">
        <f t="shared" si="10"/>
        <v>0</v>
      </c>
      <c r="AD16" s="96">
        <f t="shared" si="29"/>
        <v>618250</v>
      </c>
      <c r="AE16" s="96">
        <f t="shared" si="11"/>
        <v>0</v>
      </c>
      <c r="AF16" s="73">
        <f t="shared" si="43"/>
        <v>0</v>
      </c>
      <c r="AG16" s="73">
        <f t="shared" si="30"/>
        <v>48</v>
      </c>
      <c r="AH16" s="96">
        <f t="shared" si="31"/>
        <v>0</v>
      </c>
      <c r="AI16" s="96">
        <f t="shared" si="12"/>
        <v>618250</v>
      </c>
      <c r="AJ16" s="96">
        <f t="shared" si="13"/>
        <v>0</v>
      </c>
      <c r="AK16" s="73">
        <f t="shared" si="32"/>
        <v>0</v>
      </c>
      <c r="AL16" s="73">
        <f t="shared" si="33"/>
        <v>48</v>
      </c>
      <c r="AM16" s="96">
        <f t="shared" si="34"/>
        <v>0</v>
      </c>
      <c r="AN16" s="96">
        <f t="shared" si="35"/>
        <v>618250</v>
      </c>
      <c r="AO16" s="96">
        <f t="shared" si="36"/>
        <v>0</v>
      </c>
      <c r="AP16" s="73">
        <f t="shared" si="37"/>
        <v>0</v>
      </c>
      <c r="AQ16" s="73">
        <f t="shared" si="38"/>
        <v>48</v>
      </c>
      <c r="AR16" s="96">
        <f t="shared" si="39"/>
        <v>0</v>
      </c>
      <c r="AS16" s="96">
        <f t="shared" si="40"/>
        <v>618250</v>
      </c>
      <c r="AT16" s="96">
        <f t="shared" si="41"/>
        <v>0</v>
      </c>
      <c r="AU16" s="60"/>
      <c r="AV16" s="202">
        <f t="shared" si="42"/>
        <v>0</v>
      </c>
      <c r="AW16" s="203">
        <f t="shared" si="14"/>
        <v>0</v>
      </c>
      <c r="AX16" s="203">
        <f t="shared" si="15"/>
        <v>0</v>
      </c>
      <c r="AY16" s="203">
        <f t="shared" si="16"/>
        <v>0</v>
      </c>
      <c r="AZ16" s="203">
        <f t="shared" si="17"/>
        <v>0</v>
      </c>
      <c r="BA16" s="203">
        <f t="shared" si="18"/>
        <v>0</v>
      </c>
      <c r="BB16" s="203">
        <f t="shared" si="19"/>
        <v>0</v>
      </c>
      <c r="BC16" s="203">
        <f t="shared" si="20"/>
        <v>0</v>
      </c>
      <c r="BD16" s="203">
        <f t="shared" si="21"/>
        <v>0</v>
      </c>
      <c r="BE16" s="203">
        <f t="shared" si="22"/>
        <v>0</v>
      </c>
      <c r="BF16" s="203">
        <f t="shared" si="23"/>
        <v>0</v>
      </c>
      <c r="BG16" s="203">
        <f t="shared" si="24"/>
        <v>0</v>
      </c>
      <c r="BH16" s="203">
        <f t="shared" si="25"/>
        <v>0</v>
      </c>
    </row>
    <row r="17" spans="2:60" x14ac:dyDescent="0.2">
      <c r="B17" s="68"/>
      <c r="C17" s="89">
        <v>39294</v>
      </c>
      <c r="D17" s="70"/>
      <c r="E17" s="71" t="s">
        <v>117</v>
      </c>
      <c r="F17" s="72"/>
      <c r="G17" s="90">
        <v>0.25</v>
      </c>
      <c r="H17" s="74">
        <v>510000</v>
      </c>
      <c r="I17" s="74"/>
      <c r="J17" s="74"/>
      <c r="K17" s="74">
        <f t="shared" si="0"/>
        <v>510000</v>
      </c>
      <c r="L17" s="74"/>
      <c r="M17" s="74"/>
      <c r="N17" s="74">
        <f t="shared" si="1"/>
        <v>510000</v>
      </c>
      <c r="O17" s="91">
        <f t="shared" si="2"/>
        <v>4</v>
      </c>
      <c r="P17" s="72">
        <f t="shared" si="26"/>
        <v>48</v>
      </c>
      <c r="Q17" s="72">
        <f t="shared" si="3"/>
        <v>7</v>
      </c>
      <c r="R17" s="92">
        <f t="shared" si="4"/>
        <v>2007</v>
      </c>
      <c r="S17" s="93">
        <f t="shared" si="5"/>
        <v>6</v>
      </c>
      <c r="T17" s="94">
        <f t="shared" si="6"/>
        <v>2011</v>
      </c>
      <c r="U17" s="96">
        <f t="shared" si="27"/>
        <v>10625</v>
      </c>
      <c r="V17" s="73">
        <v>0</v>
      </c>
      <c r="W17" s="73">
        <v>48</v>
      </c>
      <c r="X17" s="96">
        <f t="shared" si="7"/>
        <v>0</v>
      </c>
      <c r="Y17" s="96">
        <v>510000</v>
      </c>
      <c r="Z17" s="96">
        <f t="shared" si="8"/>
        <v>0</v>
      </c>
      <c r="AA17" s="73">
        <f t="shared" si="9"/>
        <v>0</v>
      </c>
      <c r="AB17" s="73">
        <f t="shared" si="28"/>
        <v>48</v>
      </c>
      <c r="AC17" s="96">
        <f t="shared" si="10"/>
        <v>0</v>
      </c>
      <c r="AD17" s="96">
        <f t="shared" si="29"/>
        <v>510000</v>
      </c>
      <c r="AE17" s="96">
        <f t="shared" si="11"/>
        <v>0</v>
      </c>
      <c r="AF17" s="73">
        <f t="shared" si="43"/>
        <v>0</v>
      </c>
      <c r="AG17" s="73">
        <f t="shared" si="30"/>
        <v>48</v>
      </c>
      <c r="AH17" s="96">
        <f t="shared" si="31"/>
        <v>0</v>
      </c>
      <c r="AI17" s="96">
        <f t="shared" si="12"/>
        <v>510000</v>
      </c>
      <c r="AJ17" s="96">
        <f t="shared" si="13"/>
        <v>0</v>
      </c>
      <c r="AK17" s="73">
        <f t="shared" si="32"/>
        <v>0</v>
      </c>
      <c r="AL17" s="73">
        <f t="shared" si="33"/>
        <v>48</v>
      </c>
      <c r="AM17" s="96">
        <f t="shared" si="34"/>
        <v>0</v>
      </c>
      <c r="AN17" s="96">
        <f t="shared" si="35"/>
        <v>510000</v>
      </c>
      <c r="AO17" s="96">
        <f t="shared" si="36"/>
        <v>0</v>
      </c>
      <c r="AP17" s="73">
        <f t="shared" si="37"/>
        <v>0</v>
      </c>
      <c r="AQ17" s="73">
        <f t="shared" si="38"/>
        <v>48</v>
      </c>
      <c r="AR17" s="96">
        <f t="shared" si="39"/>
        <v>0</v>
      </c>
      <c r="AS17" s="96">
        <f t="shared" si="40"/>
        <v>510000</v>
      </c>
      <c r="AT17" s="96">
        <f t="shared" si="41"/>
        <v>0</v>
      </c>
      <c r="AU17" s="60"/>
      <c r="AV17" s="202">
        <f t="shared" si="42"/>
        <v>0</v>
      </c>
      <c r="AW17" s="203">
        <f t="shared" si="14"/>
        <v>0</v>
      </c>
      <c r="AX17" s="203">
        <f t="shared" si="15"/>
        <v>0</v>
      </c>
      <c r="AY17" s="203">
        <f t="shared" si="16"/>
        <v>0</v>
      </c>
      <c r="AZ17" s="203">
        <f t="shared" si="17"/>
        <v>0</v>
      </c>
      <c r="BA17" s="203">
        <f t="shared" si="18"/>
        <v>0</v>
      </c>
      <c r="BB17" s="203">
        <f t="shared" si="19"/>
        <v>0</v>
      </c>
      <c r="BC17" s="203">
        <f t="shared" si="20"/>
        <v>0</v>
      </c>
      <c r="BD17" s="203">
        <f t="shared" si="21"/>
        <v>0</v>
      </c>
      <c r="BE17" s="203">
        <f t="shared" si="22"/>
        <v>0</v>
      </c>
      <c r="BF17" s="203">
        <f t="shared" si="23"/>
        <v>0</v>
      </c>
      <c r="BG17" s="203">
        <f t="shared" si="24"/>
        <v>0</v>
      </c>
      <c r="BH17" s="203">
        <f t="shared" si="25"/>
        <v>0</v>
      </c>
    </row>
    <row r="18" spans="2:60" x14ac:dyDescent="0.2">
      <c r="B18" s="68"/>
      <c r="C18" s="89">
        <v>39314</v>
      </c>
      <c r="D18" s="70"/>
      <c r="E18" s="71" t="s">
        <v>118</v>
      </c>
      <c r="F18" s="72"/>
      <c r="G18" s="90">
        <v>0.25</v>
      </c>
      <c r="H18" s="74">
        <v>1600000</v>
      </c>
      <c r="I18" s="74"/>
      <c r="J18" s="74"/>
      <c r="K18" s="74">
        <f t="shared" si="0"/>
        <v>1600000</v>
      </c>
      <c r="L18" s="74"/>
      <c r="M18" s="74"/>
      <c r="N18" s="74">
        <f t="shared" si="1"/>
        <v>1600000</v>
      </c>
      <c r="O18" s="91">
        <f t="shared" si="2"/>
        <v>4</v>
      </c>
      <c r="P18" s="72">
        <f t="shared" si="26"/>
        <v>48</v>
      </c>
      <c r="Q18" s="72">
        <f t="shared" si="3"/>
        <v>8</v>
      </c>
      <c r="R18" s="92">
        <f t="shared" si="4"/>
        <v>2007</v>
      </c>
      <c r="S18" s="93">
        <f t="shared" si="5"/>
        <v>7</v>
      </c>
      <c r="T18" s="94">
        <f t="shared" si="6"/>
        <v>2011</v>
      </c>
      <c r="U18" s="96">
        <f t="shared" si="27"/>
        <v>33333.333333333336</v>
      </c>
      <c r="V18" s="73">
        <v>0</v>
      </c>
      <c r="W18" s="73">
        <v>48</v>
      </c>
      <c r="X18" s="96">
        <f t="shared" si="7"/>
        <v>0</v>
      </c>
      <c r="Y18" s="96">
        <v>1600000</v>
      </c>
      <c r="Z18" s="96">
        <f t="shared" si="8"/>
        <v>0</v>
      </c>
      <c r="AA18" s="73">
        <f t="shared" si="9"/>
        <v>0</v>
      </c>
      <c r="AB18" s="73">
        <f t="shared" si="28"/>
        <v>48</v>
      </c>
      <c r="AC18" s="96">
        <f t="shared" si="10"/>
        <v>0</v>
      </c>
      <c r="AD18" s="96">
        <f t="shared" si="29"/>
        <v>1600000</v>
      </c>
      <c r="AE18" s="96">
        <f t="shared" si="11"/>
        <v>0</v>
      </c>
      <c r="AF18" s="73">
        <f t="shared" si="43"/>
        <v>0</v>
      </c>
      <c r="AG18" s="73">
        <f t="shared" si="30"/>
        <v>48</v>
      </c>
      <c r="AH18" s="96">
        <f t="shared" si="31"/>
        <v>0</v>
      </c>
      <c r="AI18" s="96">
        <f t="shared" si="12"/>
        <v>1600000</v>
      </c>
      <c r="AJ18" s="96">
        <f t="shared" si="13"/>
        <v>0</v>
      </c>
      <c r="AK18" s="73">
        <f t="shared" si="32"/>
        <v>0</v>
      </c>
      <c r="AL18" s="73">
        <f t="shared" si="33"/>
        <v>48</v>
      </c>
      <c r="AM18" s="96">
        <f t="shared" si="34"/>
        <v>0</v>
      </c>
      <c r="AN18" s="96">
        <f t="shared" si="35"/>
        <v>1600000</v>
      </c>
      <c r="AO18" s="96">
        <f t="shared" si="36"/>
        <v>0</v>
      </c>
      <c r="AP18" s="73">
        <f t="shared" si="37"/>
        <v>0</v>
      </c>
      <c r="AQ18" s="73">
        <f t="shared" si="38"/>
        <v>48</v>
      </c>
      <c r="AR18" s="96">
        <f t="shared" si="39"/>
        <v>0</v>
      </c>
      <c r="AS18" s="96">
        <f t="shared" si="40"/>
        <v>1600000</v>
      </c>
      <c r="AT18" s="96">
        <f t="shared" si="41"/>
        <v>0</v>
      </c>
      <c r="AU18" s="60"/>
      <c r="AV18" s="202">
        <f t="shared" si="42"/>
        <v>0</v>
      </c>
      <c r="AW18" s="203">
        <f t="shared" si="14"/>
        <v>0</v>
      </c>
      <c r="AX18" s="203">
        <f t="shared" si="15"/>
        <v>0</v>
      </c>
      <c r="AY18" s="203">
        <f t="shared" si="16"/>
        <v>0</v>
      </c>
      <c r="AZ18" s="203">
        <f t="shared" si="17"/>
        <v>0</v>
      </c>
      <c r="BA18" s="203">
        <f t="shared" si="18"/>
        <v>0</v>
      </c>
      <c r="BB18" s="203">
        <f t="shared" si="19"/>
        <v>0</v>
      </c>
      <c r="BC18" s="203">
        <f t="shared" si="20"/>
        <v>0</v>
      </c>
      <c r="BD18" s="203">
        <f t="shared" si="21"/>
        <v>0</v>
      </c>
      <c r="BE18" s="203">
        <f t="shared" si="22"/>
        <v>0</v>
      </c>
      <c r="BF18" s="203">
        <f t="shared" si="23"/>
        <v>0</v>
      </c>
      <c r="BG18" s="203">
        <f t="shared" si="24"/>
        <v>0</v>
      </c>
      <c r="BH18" s="203">
        <f t="shared" si="25"/>
        <v>0</v>
      </c>
    </row>
    <row r="19" spans="2:60" x14ac:dyDescent="0.2">
      <c r="B19" s="68"/>
      <c r="C19" s="89">
        <v>39342</v>
      </c>
      <c r="D19" s="70"/>
      <c r="E19" s="71" t="s">
        <v>119</v>
      </c>
      <c r="F19" s="72"/>
      <c r="G19" s="90">
        <v>0.25</v>
      </c>
      <c r="H19" s="74">
        <v>16500000</v>
      </c>
      <c r="I19" s="74"/>
      <c r="J19" s="74"/>
      <c r="K19" s="74">
        <f t="shared" si="0"/>
        <v>16500000</v>
      </c>
      <c r="L19" s="74"/>
      <c r="M19" s="74"/>
      <c r="N19" s="74">
        <f t="shared" si="1"/>
        <v>16500000</v>
      </c>
      <c r="O19" s="91">
        <f t="shared" si="2"/>
        <v>4</v>
      </c>
      <c r="P19" s="72">
        <f t="shared" si="26"/>
        <v>48</v>
      </c>
      <c r="Q19" s="72">
        <f t="shared" si="3"/>
        <v>9</v>
      </c>
      <c r="R19" s="92">
        <f t="shared" si="4"/>
        <v>2007</v>
      </c>
      <c r="S19" s="93">
        <f t="shared" si="5"/>
        <v>8</v>
      </c>
      <c r="T19" s="94">
        <f t="shared" si="6"/>
        <v>2011</v>
      </c>
      <c r="U19" s="96">
        <f t="shared" si="27"/>
        <v>343750</v>
      </c>
      <c r="V19" s="73">
        <v>0</v>
      </c>
      <c r="W19" s="73">
        <v>48</v>
      </c>
      <c r="X19" s="96">
        <f t="shared" si="7"/>
        <v>0</v>
      </c>
      <c r="Y19" s="96">
        <v>16500000</v>
      </c>
      <c r="Z19" s="96">
        <f t="shared" si="8"/>
        <v>0</v>
      </c>
      <c r="AA19" s="73">
        <f t="shared" si="9"/>
        <v>0</v>
      </c>
      <c r="AB19" s="73">
        <f t="shared" si="28"/>
        <v>48</v>
      </c>
      <c r="AC19" s="96">
        <f t="shared" si="10"/>
        <v>0</v>
      </c>
      <c r="AD19" s="96">
        <f t="shared" si="29"/>
        <v>16500000</v>
      </c>
      <c r="AE19" s="96">
        <f t="shared" si="11"/>
        <v>0</v>
      </c>
      <c r="AF19" s="73">
        <f t="shared" si="43"/>
        <v>0</v>
      </c>
      <c r="AG19" s="73">
        <f t="shared" si="30"/>
        <v>48</v>
      </c>
      <c r="AH19" s="96">
        <f t="shared" si="31"/>
        <v>0</v>
      </c>
      <c r="AI19" s="96">
        <f t="shared" si="12"/>
        <v>16500000</v>
      </c>
      <c r="AJ19" s="96">
        <f t="shared" si="13"/>
        <v>0</v>
      </c>
      <c r="AK19" s="73">
        <f t="shared" si="32"/>
        <v>0</v>
      </c>
      <c r="AL19" s="73">
        <f t="shared" si="33"/>
        <v>48</v>
      </c>
      <c r="AM19" s="96">
        <f t="shared" si="34"/>
        <v>0</v>
      </c>
      <c r="AN19" s="96">
        <f t="shared" si="35"/>
        <v>16500000</v>
      </c>
      <c r="AO19" s="96">
        <f t="shared" si="36"/>
        <v>0</v>
      </c>
      <c r="AP19" s="73">
        <f t="shared" si="37"/>
        <v>0</v>
      </c>
      <c r="AQ19" s="73">
        <f t="shared" si="38"/>
        <v>48</v>
      </c>
      <c r="AR19" s="96">
        <f t="shared" si="39"/>
        <v>0</v>
      </c>
      <c r="AS19" s="96">
        <f t="shared" si="40"/>
        <v>16500000</v>
      </c>
      <c r="AT19" s="96">
        <f t="shared" si="41"/>
        <v>0</v>
      </c>
      <c r="AU19" s="60"/>
      <c r="AV19" s="202">
        <f t="shared" si="42"/>
        <v>0</v>
      </c>
      <c r="AW19" s="203">
        <f t="shared" si="14"/>
        <v>0</v>
      </c>
      <c r="AX19" s="203">
        <f t="shared" si="15"/>
        <v>0</v>
      </c>
      <c r="AY19" s="203">
        <f t="shared" si="16"/>
        <v>0</v>
      </c>
      <c r="AZ19" s="203">
        <f t="shared" si="17"/>
        <v>0</v>
      </c>
      <c r="BA19" s="203">
        <f t="shared" si="18"/>
        <v>0</v>
      </c>
      <c r="BB19" s="203">
        <f t="shared" si="19"/>
        <v>0</v>
      </c>
      <c r="BC19" s="203">
        <f t="shared" si="20"/>
        <v>0</v>
      </c>
      <c r="BD19" s="203">
        <f t="shared" si="21"/>
        <v>0</v>
      </c>
      <c r="BE19" s="203">
        <f t="shared" si="22"/>
        <v>0</v>
      </c>
      <c r="BF19" s="203">
        <f t="shared" si="23"/>
        <v>0</v>
      </c>
      <c r="BG19" s="203">
        <f t="shared" si="24"/>
        <v>0</v>
      </c>
      <c r="BH19" s="203">
        <f t="shared" si="25"/>
        <v>0</v>
      </c>
    </row>
    <row r="20" spans="2:60" x14ac:dyDescent="0.2">
      <c r="B20" s="68"/>
      <c r="C20" s="89">
        <v>39463</v>
      </c>
      <c r="D20" s="70"/>
      <c r="E20" s="71" t="s">
        <v>120</v>
      </c>
      <c r="F20" s="72"/>
      <c r="G20" s="90">
        <v>0.25</v>
      </c>
      <c r="H20" s="74">
        <v>6341000</v>
      </c>
      <c r="I20" s="74"/>
      <c r="J20" s="74"/>
      <c r="K20" s="74">
        <f t="shared" si="0"/>
        <v>6341000</v>
      </c>
      <c r="L20" s="74"/>
      <c r="M20" s="74"/>
      <c r="N20" s="74">
        <f t="shared" si="1"/>
        <v>6341000</v>
      </c>
      <c r="O20" s="91">
        <f t="shared" si="2"/>
        <v>4</v>
      </c>
      <c r="P20" s="72">
        <f t="shared" si="26"/>
        <v>48</v>
      </c>
      <c r="Q20" s="72">
        <f t="shared" si="3"/>
        <v>1</v>
      </c>
      <c r="R20" s="92">
        <f t="shared" si="4"/>
        <v>2008</v>
      </c>
      <c r="S20" s="93">
        <f t="shared" si="5"/>
        <v>12</v>
      </c>
      <c r="T20" s="94">
        <f t="shared" si="6"/>
        <v>2011</v>
      </c>
      <c r="U20" s="96">
        <f t="shared" si="27"/>
        <v>132104.16666666666</v>
      </c>
      <c r="V20" s="73">
        <v>0</v>
      </c>
      <c r="W20" s="73">
        <v>48</v>
      </c>
      <c r="X20" s="96">
        <f t="shared" si="7"/>
        <v>0</v>
      </c>
      <c r="Y20" s="96">
        <v>6341000</v>
      </c>
      <c r="Z20" s="96">
        <f t="shared" si="8"/>
        <v>0</v>
      </c>
      <c r="AA20" s="73">
        <f t="shared" si="9"/>
        <v>0</v>
      </c>
      <c r="AB20" s="73">
        <f t="shared" si="28"/>
        <v>48</v>
      </c>
      <c r="AC20" s="96">
        <f t="shared" si="10"/>
        <v>0</v>
      </c>
      <c r="AD20" s="96">
        <f t="shared" si="29"/>
        <v>6341000</v>
      </c>
      <c r="AE20" s="96">
        <f t="shared" si="11"/>
        <v>0</v>
      </c>
      <c r="AF20" s="73">
        <f t="shared" si="43"/>
        <v>0</v>
      </c>
      <c r="AG20" s="73">
        <f t="shared" si="30"/>
        <v>48</v>
      </c>
      <c r="AH20" s="96">
        <f t="shared" si="31"/>
        <v>0</v>
      </c>
      <c r="AI20" s="96">
        <f t="shared" si="12"/>
        <v>6341000</v>
      </c>
      <c r="AJ20" s="96">
        <f t="shared" si="13"/>
        <v>0</v>
      </c>
      <c r="AK20" s="73">
        <f t="shared" si="32"/>
        <v>0</v>
      </c>
      <c r="AL20" s="73">
        <f t="shared" si="33"/>
        <v>48</v>
      </c>
      <c r="AM20" s="96">
        <f t="shared" si="34"/>
        <v>0</v>
      </c>
      <c r="AN20" s="96">
        <f t="shared" si="35"/>
        <v>6341000</v>
      </c>
      <c r="AO20" s="96">
        <f t="shared" si="36"/>
        <v>0</v>
      </c>
      <c r="AP20" s="73">
        <f t="shared" si="37"/>
        <v>0</v>
      </c>
      <c r="AQ20" s="73">
        <f t="shared" si="38"/>
        <v>48</v>
      </c>
      <c r="AR20" s="96">
        <f t="shared" si="39"/>
        <v>0</v>
      </c>
      <c r="AS20" s="96">
        <f t="shared" si="40"/>
        <v>6341000</v>
      </c>
      <c r="AT20" s="96">
        <f t="shared" si="41"/>
        <v>0</v>
      </c>
      <c r="AU20" s="60"/>
      <c r="AV20" s="202">
        <f t="shared" si="42"/>
        <v>0</v>
      </c>
      <c r="AW20" s="203">
        <f t="shared" si="14"/>
        <v>0</v>
      </c>
      <c r="AX20" s="203">
        <f t="shared" si="15"/>
        <v>0</v>
      </c>
      <c r="AY20" s="203">
        <f t="shared" si="16"/>
        <v>0</v>
      </c>
      <c r="AZ20" s="203">
        <f t="shared" si="17"/>
        <v>0</v>
      </c>
      <c r="BA20" s="203">
        <f t="shared" si="18"/>
        <v>0</v>
      </c>
      <c r="BB20" s="203">
        <f t="shared" si="19"/>
        <v>0</v>
      </c>
      <c r="BC20" s="203">
        <f t="shared" si="20"/>
        <v>0</v>
      </c>
      <c r="BD20" s="203">
        <f t="shared" si="21"/>
        <v>0</v>
      </c>
      <c r="BE20" s="203">
        <f t="shared" si="22"/>
        <v>0</v>
      </c>
      <c r="BF20" s="203">
        <f t="shared" si="23"/>
        <v>0</v>
      </c>
      <c r="BG20" s="203">
        <f t="shared" si="24"/>
        <v>0</v>
      </c>
      <c r="BH20" s="203">
        <f t="shared" si="25"/>
        <v>0</v>
      </c>
    </row>
    <row r="21" spans="2:60" x14ac:dyDescent="0.2">
      <c r="B21" s="68"/>
      <c r="C21" s="89">
        <v>39506</v>
      </c>
      <c r="D21" s="70"/>
      <c r="E21" s="71" t="s">
        <v>121</v>
      </c>
      <c r="F21" s="72"/>
      <c r="G21" s="90">
        <v>0.25</v>
      </c>
      <c r="H21" s="74">
        <v>1275000</v>
      </c>
      <c r="I21" s="74"/>
      <c r="J21" s="74"/>
      <c r="K21" s="74">
        <f t="shared" si="0"/>
        <v>1275000</v>
      </c>
      <c r="L21" s="74"/>
      <c r="M21" s="74"/>
      <c r="N21" s="74">
        <f t="shared" si="1"/>
        <v>1275000</v>
      </c>
      <c r="O21" s="91">
        <f t="shared" si="2"/>
        <v>4</v>
      </c>
      <c r="P21" s="72">
        <f t="shared" si="26"/>
        <v>48</v>
      </c>
      <c r="Q21" s="72">
        <f t="shared" si="3"/>
        <v>2</v>
      </c>
      <c r="R21" s="92">
        <f t="shared" si="4"/>
        <v>2008</v>
      </c>
      <c r="S21" s="93">
        <f t="shared" si="5"/>
        <v>1</v>
      </c>
      <c r="T21" s="94">
        <f t="shared" si="6"/>
        <v>2012</v>
      </c>
      <c r="U21" s="96">
        <f t="shared" si="27"/>
        <v>26562.5</v>
      </c>
      <c r="V21" s="73">
        <v>0</v>
      </c>
      <c r="W21" s="73">
        <v>48</v>
      </c>
      <c r="X21" s="96">
        <f t="shared" si="7"/>
        <v>0</v>
      </c>
      <c r="Y21" s="96">
        <v>1275000</v>
      </c>
      <c r="Z21" s="96">
        <f t="shared" si="8"/>
        <v>0</v>
      </c>
      <c r="AA21" s="73">
        <f t="shared" si="9"/>
        <v>0</v>
      </c>
      <c r="AB21" s="73">
        <f t="shared" si="28"/>
        <v>48</v>
      </c>
      <c r="AC21" s="96">
        <f t="shared" si="10"/>
        <v>0</v>
      </c>
      <c r="AD21" s="96">
        <f t="shared" si="29"/>
        <v>1275000</v>
      </c>
      <c r="AE21" s="96">
        <f t="shared" si="11"/>
        <v>0</v>
      </c>
      <c r="AF21" s="73">
        <f t="shared" si="43"/>
        <v>0</v>
      </c>
      <c r="AG21" s="73">
        <f t="shared" si="30"/>
        <v>48</v>
      </c>
      <c r="AH21" s="96">
        <f t="shared" si="31"/>
        <v>0</v>
      </c>
      <c r="AI21" s="96">
        <f t="shared" si="12"/>
        <v>1275000</v>
      </c>
      <c r="AJ21" s="96">
        <f t="shared" si="13"/>
        <v>0</v>
      </c>
      <c r="AK21" s="73">
        <f t="shared" si="32"/>
        <v>0</v>
      </c>
      <c r="AL21" s="73">
        <f t="shared" si="33"/>
        <v>48</v>
      </c>
      <c r="AM21" s="96">
        <f t="shared" si="34"/>
        <v>0</v>
      </c>
      <c r="AN21" s="96">
        <f t="shared" si="35"/>
        <v>1275000</v>
      </c>
      <c r="AO21" s="96">
        <f t="shared" si="36"/>
        <v>0</v>
      </c>
      <c r="AP21" s="73">
        <f t="shared" si="37"/>
        <v>0</v>
      </c>
      <c r="AQ21" s="73">
        <f t="shared" si="38"/>
        <v>48</v>
      </c>
      <c r="AR21" s="96">
        <f t="shared" si="39"/>
        <v>0</v>
      </c>
      <c r="AS21" s="96">
        <f t="shared" si="40"/>
        <v>1275000</v>
      </c>
      <c r="AT21" s="96">
        <f t="shared" si="41"/>
        <v>0</v>
      </c>
      <c r="AU21" s="60"/>
      <c r="AV21" s="202">
        <f t="shared" si="42"/>
        <v>0</v>
      </c>
      <c r="AW21" s="203">
        <f t="shared" si="14"/>
        <v>0</v>
      </c>
      <c r="AX21" s="203">
        <f t="shared" si="15"/>
        <v>0</v>
      </c>
      <c r="AY21" s="203">
        <f t="shared" si="16"/>
        <v>0</v>
      </c>
      <c r="AZ21" s="203">
        <f t="shared" si="17"/>
        <v>0</v>
      </c>
      <c r="BA21" s="203">
        <f t="shared" si="18"/>
        <v>0</v>
      </c>
      <c r="BB21" s="203">
        <f t="shared" si="19"/>
        <v>0</v>
      </c>
      <c r="BC21" s="203">
        <f t="shared" si="20"/>
        <v>0</v>
      </c>
      <c r="BD21" s="203">
        <f t="shared" si="21"/>
        <v>0</v>
      </c>
      <c r="BE21" s="203">
        <f t="shared" si="22"/>
        <v>0</v>
      </c>
      <c r="BF21" s="203">
        <f t="shared" si="23"/>
        <v>0</v>
      </c>
      <c r="BG21" s="203">
        <f t="shared" si="24"/>
        <v>0</v>
      </c>
      <c r="BH21" s="203">
        <f t="shared" si="25"/>
        <v>0</v>
      </c>
    </row>
    <row r="22" spans="2:60" x14ac:dyDescent="0.2">
      <c r="B22" s="68"/>
      <c r="C22" s="89">
        <v>39552</v>
      </c>
      <c r="D22" s="70"/>
      <c r="E22" s="71" t="s">
        <v>122</v>
      </c>
      <c r="F22" s="72"/>
      <c r="G22" s="90">
        <v>0.25</v>
      </c>
      <c r="H22" s="74">
        <v>775000</v>
      </c>
      <c r="I22" s="74"/>
      <c r="J22" s="74"/>
      <c r="K22" s="74">
        <f t="shared" si="0"/>
        <v>775000</v>
      </c>
      <c r="L22" s="74"/>
      <c r="M22" s="74"/>
      <c r="N22" s="74">
        <f t="shared" si="1"/>
        <v>775000</v>
      </c>
      <c r="O22" s="91">
        <f t="shared" si="2"/>
        <v>4</v>
      </c>
      <c r="P22" s="72">
        <f t="shared" si="26"/>
        <v>48</v>
      </c>
      <c r="Q22" s="72">
        <f t="shared" si="3"/>
        <v>4</v>
      </c>
      <c r="R22" s="92">
        <f t="shared" si="4"/>
        <v>2008</v>
      </c>
      <c r="S22" s="93">
        <f t="shared" si="5"/>
        <v>3</v>
      </c>
      <c r="T22" s="94">
        <f t="shared" si="6"/>
        <v>2012</v>
      </c>
      <c r="U22" s="96">
        <f t="shared" si="27"/>
        <v>16145.833333333334</v>
      </c>
      <c r="V22" s="73">
        <v>0</v>
      </c>
      <c r="W22" s="73">
        <v>48</v>
      </c>
      <c r="X22" s="96">
        <f t="shared" si="7"/>
        <v>0</v>
      </c>
      <c r="Y22" s="96">
        <v>775000</v>
      </c>
      <c r="Z22" s="96">
        <f t="shared" si="8"/>
        <v>0</v>
      </c>
      <c r="AA22" s="73">
        <f t="shared" si="9"/>
        <v>0</v>
      </c>
      <c r="AB22" s="73">
        <f t="shared" si="28"/>
        <v>48</v>
      </c>
      <c r="AC22" s="96">
        <f t="shared" si="10"/>
        <v>0</v>
      </c>
      <c r="AD22" s="96">
        <f t="shared" si="29"/>
        <v>775000</v>
      </c>
      <c r="AE22" s="96">
        <f t="shared" si="11"/>
        <v>0</v>
      </c>
      <c r="AF22" s="73">
        <f t="shared" si="43"/>
        <v>0</v>
      </c>
      <c r="AG22" s="73">
        <f t="shared" si="30"/>
        <v>48</v>
      </c>
      <c r="AH22" s="96">
        <f t="shared" si="31"/>
        <v>0</v>
      </c>
      <c r="AI22" s="96">
        <f t="shared" si="12"/>
        <v>775000</v>
      </c>
      <c r="AJ22" s="96">
        <f t="shared" si="13"/>
        <v>0</v>
      </c>
      <c r="AK22" s="73">
        <f t="shared" si="32"/>
        <v>0</v>
      </c>
      <c r="AL22" s="73">
        <f t="shared" si="33"/>
        <v>48</v>
      </c>
      <c r="AM22" s="96">
        <f t="shared" si="34"/>
        <v>0</v>
      </c>
      <c r="AN22" s="96">
        <f t="shared" si="35"/>
        <v>775000</v>
      </c>
      <c r="AO22" s="96">
        <f t="shared" si="36"/>
        <v>0</v>
      </c>
      <c r="AP22" s="73">
        <f t="shared" si="37"/>
        <v>0</v>
      </c>
      <c r="AQ22" s="73">
        <f t="shared" si="38"/>
        <v>48</v>
      </c>
      <c r="AR22" s="96">
        <f t="shared" si="39"/>
        <v>0</v>
      </c>
      <c r="AS22" s="96">
        <f t="shared" si="40"/>
        <v>775000</v>
      </c>
      <c r="AT22" s="96">
        <f t="shared" si="41"/>
        <v>0</v>
      </c>
      <c r="AU22" s="60"/>
      <c r="AV22" s="202">
        <f t="shared" si="42"/>
        <v>0</v>
      </c>
      <c r="AW22" s="203">
        <f t="shared" si="14"/>
        <v>0</v>
      </c>
      <c r="AX22" s="203">
        <f t="shared" si="15"/>
        <v>0</v>
      </c>
      <c r="AY22" s="203">
        <f t="shared" si="16"/>
        <v>0</v>
      </c>
      <c r="AZ22" s="203">
        <f t="shared" si="17"/>
        <v>0</v>
      </c>
      <c r="BA22" s="203">
        <f t="shared" si="18"/>
        <v>0</v>
      </c>
      <c r="BB22" s="203">
        <f t="shared" si="19"/>
        <v>0</v>
      </c>
      <c r="BC22" s="203">
        <f t="shared" si="20"/>
        <v>0</v>
      </c>
      <c r="BD22" s="203">
        <f t="shared" si="21"/>
        <v>0</v>
      </c>
      <c r="BE22" s="203">
        <f t="shared" si="22"/>
        <v>0</v>
      </c>
      <c r="BF22" s="203">
        <f t="shared" si="23"/>
        <v>0</v>
      </c>
      <c r="BG22" s="203">
        <f t="shared" si="24"/>
        <v>0</v>
      </c>
      <c r="BH22" s="203">
        <f t="shared" si="25"/>
        <v>0</v>
      </c>
    </row>
    <row r="23" spans="2:60" x14ac:dyDescent="0.2">
      <c r="B23" s="68"/>
      <c r="C23" s="89">
        <v>39574</v>
      </c>
      <c r="D23" s="70"/>
      <c r="E23" s="71" t="s">
        <v>123</v>
      </c>
      <c r="F23" s="72"/>
      <c r="G23" s="90">
        <v>0.25</v>
      </c>
      <c r="H23" s="74">
        <v>208000</v>
      </c>
      <c r="I23" s="74"/>
      <c r="J23" s="74"/>
      <c r="K23" s="74">
        <f t="shared" si="0"/>
        <v>208000</v>
      </c>
      <c r="L23" s="74"/>
      <c r="M23" s="74"/>
      <c r="N23" s="74">
        <f t="shared" si="1"/>
        <v>208000</v>
      </c>
      <c r="O23" s="91">
        <f t="shared" si="2"/>
        <v>4</v>
      </c>
      <c r="P23" s="72">
        <f t="shared" si="26"/>
        <v>48</v>
      </c>
      <c r="Q23" s="72">
        <f t="shared" si="3"/>
        <v>5</v>
      </c>
      <c r="R23" s="92">
        <f t="shared" si="4"/>
        <v>2008</v>
      </c>
      <c r="S23" s="93">
        <f t="shared" si="5"/>
        <v>4</v>
      </c>
      <c r="T23" s="94">
        <f t="shared" si="6"/>
        <v>2012</v>
      </c>
      <c r="U23" s="96">
        <f t="shared" si="27"/>
        <v>4333.333333333333</v>
      </c>
      <c r="V23" s="73">
        <v>0</v>
      </c>
      <c r="W23" s="73">
        <v>48</v>
      </c>
      <c r="X23" s="96">
        <f t="shared" si="7"/>
        <v>0</v>
      </c>
      <c r="Y23" s="96">
        <v>208000</v>
      </c>
      <c r="Z23" s="96">
        <f t="shared" si="8"/>
        <v>0</v>
      </c>
      <c r="AA23" s="73">
        <f t="shared" si="9"/>
        <v>0</v>
      </c>
      <c r="AB23" s="73">
        <f t="shared" si="28"/>
        <v>48</v>
      </c>
      <c r="AC23" s="96">
        <f t="shared" si="10"/>
        <v>0</v>
      </c>
      <c r="AD23" s="96">
        <f t="shared" si="29"/>
        <v>208000</v>
      </c>
      <c r="AE23" s="96">
        <f t="shared" si="11"/>
        <v>0</v>
      </c>
      <c r="AF23" s="73">
        <f t="shared" si="43"/>
        <v>0</v>
      </c>
      <c r="AG23" s="73">
        <f t="shared" si="30"/>
        <v>48</v>
      </c>
      <c r="AH23" s="96">
        <f t="shared" si="31"/>
        <v>0</v>
      </c>
      <c r="AI23" s="96">
        <f t="shared" si="12"/>
        <v>208000</v>
      </c>
      <c r="AJ23" s="96">
        <f t="shared" si="13"/>
        <v>0</v>
      </c>
      <c r="AK23" s="73">
        <f t="shared" si="32"/>
        <v>0</v>
      </c>
      <c r="AL23" s="73">
        <f t="shared" si="33"/>
        <v>48</v>
      </c>
      <c r="AM23" s="96">
        <f t="shared" si="34"/>
        <v>0</v>
      </c>
      <c r="AN23" s="96">
        <f t="shared" si="35"/>
        <v>208000</v>
      </c>
      <c r="AO23" s="96">
        <f t="shared" si="36"/>
        <v>0</v>
      </c>
      <c r="AP23" s="73">
        <f t="shared" si="37"/>
        <v>0</v>
      </c>
      <c r="AQ23" s="73">
        <f t="shared" si="38"/>
        <v>48</v>
      </c>
      <c r="AR23" s="96">
        <f t="shared" si="39"/>
        <v>0</v>
      </c>
      <c r="AS23" s="96">
        <f t="shared" si="40"/>
        <v>208000</v>
      </c>
      <c r="AT23" s="96">
        <f t="shared" si="41"/>
        <v>0</v>
      </c>
      <c r="AU23" s="60"/>
      <c r="AV23" s="202">
        <f t="shared" si="42"/>
        <v>0</v>
      </c>
      <c r="AW23" s="203">
        <f t="shared" si="14"/>
        <v>0</v>
      </c>
      <c r="AX23" s="203">
        <f t="shared" si="15"/>
        <v>0</v>
      </c>
      <c r="AY23" s="203">
        <f t="shared" si="16"/>
        <v>0</v>
      </c>
      <c r="AZ23" s="203">
        <f t="shared" si="17"/>
        <v>0</v>
      </c>
      <c r="BA23" s="203">
        <f t="shared" si="18"/>
        <v>0</v>
      </c>
      <c r="BB23" s="203">
        <f t="shared" si="19"/>
        <v>0</v>
      </c>
      <c r="BC23" s="203">
        <f t="shared" si="20"/>
        <v>0</v>
      </c>
      <c r="BD23" s="203">
        <f t="shared" si="21"/>
        <v>0</v>
      </c>
      <c r="BE23" s="203">
        <f t="shared" si="22"/>
        <v>0</v>
      </c>
      <c r="BF23" s="203">
        <f t="shared" si="23"/>
        <v>0</v>
      </c>
      <c r="BG23" s="203">
        <f t="shared" si="24"/>
        <v>0</v>
      </c>
      <c r="BH23" s="203">
        <f t="shared" si="25"/>
        <v>0</v>
      </c>
    </row>
    <row r="24" spans="2:60" x14ac:dyDescent="0.2">
      <c r="B24" s="68"/>
      <c r="C24" s="89">
        <v>39577</v>
      </c>
      <c r="D24" s="70"/>
      <c r="E24" s="71" t="s">
        <v>124</v>
      </c>
      <c r="F24" s="72"/>
      <c r="G24" s="90">
        <v>0.25</v>
      </c>
      <c r="H24" s="74">
        <v>825000</v>
      </c>
      <c r="I24" s="74"/>
      <c r="J24" s="74"/>
      <c r="K24" s="74">
        <f t="shared" si="0"/>
        <v>825000</v>
      </c>
      <c r="L24" s="74"/>
      <c r="M24" s="74"/>
      <c r="N24" s="74">
        <f t="shared" si="1"/>
        <v>825000</v>
      </c>
      <c r="O24" s="91">
        <f t="shared" si="2"/>
        <v>4</v>
      </c>
      <c r="P24" s="72">
        <f t="shared" si="26"/>
        <v>48</v>
      </c>
      <c r="Q24" s="72">
        <f t="shared" si="3"/>
        <v>5</v>
      </c>
      <c r="R24" s="92">
        <f t="shared" si="4"/>
        <v>2008</v>
      </c>
      <c r="S24" s="93">
        <f t="shared" si="5"/>
        <v>4</v>
      </c>
      <c r="T24" s="94">
        <f t="shared" si="6"/>
        <v>2012</v>
      </c>
      <c r="U24" s="96">
        <f t="shared" si="27"/>
        <v>17187.5</v>
      </c>
      <c r="V24" s="73">
        <v>0</v>
      </c>
      <c r="W24" s="73">
        <v>48</v>
      </c>
      <c r="X24" s="96">
        <f t="shared" si="7"/>
        <v>0</v>
      </c>
      <c r="Y24" s="96">
        <v>825000</v>
      </c>
      <c r="Z24" s="96">
        <f t="shared" si="8"/>
        <v>0</v>
      </c>
      <c r="AA24" s="73">
        <f t="shared" si="9"/>
        <v>0</v>
      </c>
      <c r="AB24" s="73">
        <f t="shared" si="28"/>
        <v>48</v>
      </c>
      <c r="AC24" s="96">
        <f t="shared" si="10"/>
        <v>0</v>
      </c>
      <c r="AD24" s="96">
        <f t="shared" si="29"/>
        <v>825000</v>
      </c>
      <c r="AE24" s="96">
        <f t="shared" si="11"/>
        <v>0</v>
      </c>
      <c r="AF24" s="73">
        <f t="shared" si="43"/>
        <v>0</v>
      </c>
      <c r="AG24" s="73">
        <f t="shared" si="30"/>
        <v>48</v>
      </c>
      <c r="AH24" s="96">
        <f t="shared" si="31"/>
        <v>0</v>
      </c>
      <c r="AI24" s="96">
        <f t="shared" si="12"/>
        <v>825000</v>
      </c>
      <c r="AJ24" s="96">
        <f t="shared" si="13"/>
        <v>0</v>
      </c>
      <c r="AK24" s="73">
        <f t="shared" si="32"/>
        <v>0</v>
      </c>
      <c r="AL24" s="73">
        <f t="shared" si="33"/>
        <v>48</v>
      </c>
      <c r="AM24" s="96">
        <f t="shared" si="34"/>
        <v>0</v>
      </c>
      <c r="AN24" s="96">
        <f t="shared" si="35"/>
        <v>825000</v>
      </c>
      <c r="AO24" s="96">
        <f t="shared" si="36"/>
        <v>0</v>
      </c>
      <c r="AP24" s="73">
        <f t="shared" si="37"/>
        <v>0</v>
      </c>
      <c r="AQ24" s="73">
        <f t="shared" si="38"/>
        <v>48</v>
      </c>
      <c r="AR24" s="96">
        <f t="shared" si="39"/>
        <v>0</v>
      </c>
      <c r="AS24" s="96">
        <f t="shared" si="40"/>
        <v>825000</v>
      </c>
      <c r="AT24" s="96">
        <f t="shared" si="41"/>
        <v>0</v>
      </c>
      <c r="AU24" s="60"/>
      <c r="AV24" s="202">
        <f t="shared" si="42"/>
        <v>0</v>
      </c>
      <c r="AW24" s="203">
        <f t="shared" si="14"/>
        <v>0</v>
      </c>
      <c r="AX24" s="203">
        <f t="shared" si="15"/>
        <v>0</v>
      </c>
      <c r="AY24" s="203">
        <f t="shared" si="16"/>
        <v>0</v>
      </c>
      <c r="AZ24" s="203">
        <f t="shared" si="17"/>
        <v>0</v>
      </c>
      <c r="BA24" s="203">
        <f t="shared" si="18"/>
        <v>0</v>
      </c>
      <c r="BB24" s="203">
        <f t="shared" si="19"/>
        <v>0</v>
      </c>
      <c r="BC24" s="203">
        <f t="shared" si="20"/>
        <v>0</v>
      </c>
      <c r="BD24" s="203">
        <f t="shared" si="21"/>
        <v>0</v>
      </c>
      <c r="BE24" s="203">
        <f t="shared" si="22"/>
        <v>0</v>
      </c>
      <c r="BF24" s="203">
        <f t="shared" si="23"/>
        <v>0</v>
      </c>
      <c r="BG24" s="203">
        <f t="shared" si="24"/>
        <v>0</v>
      </c>
      <c r="BH24" s="203">
        <f t="shared" si="25"/>
        <v>0</v>
      </c>
    </row>
    <row r="25" spans="2:60" x14ac:dyDescent="0.2">
      <c r="B25" s="68"/>
      <c r="C25" s="89">
        <v>39577</v>
      </c>
      <c r="D25" s="70"/>
      <c r="E25" s="71" t="s">
        <v>125</v>
      </c>
      <c r="F25" s="72"/>
      <c r="G25" s="90">
        <v>0.25</v>
      </c>
      <c r="H25" s="74">
        <v>180000</v>
      </c>
      <c r="I25" s="74"/>
      <c r="J25" s="74"/>
      <c r="K25" s="74">
        <f t="shared" si="0"/>
        <v>180000</v>
      </c>
      <c r="L25" s="74"/>
      <c r="M25" s="74"/>
      <c r="N25" s="74">
        <f t="shared" si="1"/>
        <v>180000</v>
      </c>
      <c r="O25" s="91">
        <f t="shared" si="2"/>
        <v>4</v>
      </c>
      <c r="P25" s="72">
        <f t="shared" si="26"/>
        <v>48</v>
      </c>
      <c r="Q25" s="72">
        <f t="shared" si="3"/>
        <v>5</v>
      </c>
      <c r="R25" s="92">
        <f t="shared" si="4"/>
        <v>2008</v>
      </c>
      <c r="S25" s="93">
        <f t="shared" si="5"/>
        <v>4</v>
      </c>
      <c r="T25" s="94">
        <f t="shared" si="6"/>
        <v>2012</v>
      </c>
      <c r="U25" s="96">
        <f t="shared" si="27"/>
        <v>3750</v>
      </c>
      <c r="V25" s="73">
        <v>0</v>
      </c>
      <c r="W25" s="73">
        <v>48</v>
      </c>
      <c r="X25" s="96">
        <f t="shared" si="7"/>
        <v>0</v>
      </c>
      <c r="Y25" s="96">
        <v>180000</v>
      </c>
      <c r="Z25" s="96">
        <f t="shared" si="8"/>
        <v>0</v>
      </c>
      <c r="AA25" s="73">
        <f t="shared" si="9"/>
        <v>0</v>
      </c>
      <c r="AB25" s="73">
        <f t="shared" si="28"/>
        <v>48</v>
      </c>
      <c r="AC25" s="96">
        <f t="shared" si="10"/>
        <v>0</v>
      </c>
      <c r="AD25" s="96">
        <f t="shared" si="29"/>
        <v>180000</v>
      </c>
      <c r="AE25" s="96">
        <f t="shared" si="11"/>
        <v>0</v>
      </c>
      <c r="AF25" s="73">
        <f t="shared" si="43"/>
        <v>0</v>
      </c>
      <c r="AG25" s="73">
        <f t="shared" si="30"/>
        <v>48</v>
      </c>
      <c r="AH25" s="96">
        <f t="shared" si="31"/>
        <v>0</v>
      </c>
      <c r="AI25" s="96">
        <f t="shared" si="12"/>
        <v>180000</v>
      </c>
      <c r="AJ25" s="96">
        <f t="shared" si="13"/>
        <v>0</v>
      </c>
      <c r="AK25" s="73">
        <f t="shared" si="32"/>
        <v>0</v>
      </c>
      <c r="AL25" s="73">
        <f t="shared" si="33"/>
        <v>48</v>
      </c>
      <c r="AM25" s="96">
        <f t="shared" si="34"/>
        <v>0</v>
      </c>
      <c r="AN25" s="96">
        <f t="shared" si="35"/>
        <v>180000</v>
      </c>
      <c r="AO25" s="96">
        <f t="shared" si="36"/>
        <v>0</v>
      </c>
      <c r="AP25" s="73">
        <f t="shared" si="37"/>
        <v>0</v>
      </c>
      <c r="AQ25" s="73">
        <f t="shared" si="38"/>
        <v>48</v>
      </c>
      <c r="AR25" s="96">
        <f t="shared" si="39"/>
        <v>0</v>
      </c>
      <c r="AS25" s="96">
        <f t="shared" si="40"/>
        <v>180000</v>
      </c>
      <c r="AT25" s="96">
        <f t="shared" si="41"/>
        <v>0</v>
      </c>
      <c r="AU25" s="60"/>
      <c r="AV25" s="202">
        <f t="shared" si="42"/>
        <v>0</v>
      </c>
      <c r="AW25" s="203">
        <f t="shared" si="14"/>
        <v>0</v>
      </c>
      <c r="AX25" s="203">
        <f t="shared" si="15"/>
        <v>0</v>
      </c>
      <c r="AY25" s="203">
        <f t="shared" si="16"/>
        <v>0</v>
      </c>
      <c r="AZ25" s="203">
        <f t="shared" si="17"/>
        <v>0</v>
      </c>
      <c r="BA25" s="203">
        <f t="shared" si="18"/>
        <v>0</v>
      </c>
      <c r="BB25" s="203">
        <f t="shared" si="19"/>
        <v>0</v>
      </c>
      <c r="BC25" s="203">
        <f t="shared" si="20"/>
        <v>0</v>
      </c>
      <c r="BD25" s="203">
        <f t="shared" si="21"/>
        <v>0</v>
      </c>
      <c r="BE25" s="203">
        <f t="shared" si="22"/>
        <v>0</v>
      </c>
      <c r="BF25" s="203">
        <f t="shared" si="23"/>
        <v>0</v>
      </c>
      <c r="BG25" s="203">
        <f t="shared" si="24"/>
        <v>0</v>
      </c>
      <c r="BH25" s="203">
        <f t="shared" si="25"/>
        <v>0</v>
      </c>
    </row>
    <row r="26" spans="2:60" x14ac:dyDescent="0.2">
      <c r="B26" s="68"/>
      <c r="C26" s="89">
        <v>39589</v>
      </c>
      <c r="D26" s="70"/>
      <c r="E26" s="71" t="s">
        <v>126</v>
      </c>
      <c r="F26" s="72"/>
      <c r="G26" s="90">
        <v>0.25</v>
      </c>
      <c r="H26" s="74">
        <v>14000000</v>
      </c>
      <c r="I26" s="74"/>
      <c r="J26" s="74"/>
      <c r="K26" s="74">
        <f t="shared" si="0"/>
        <v>14000000</v>
      </c>
      <c r="L26" s="74"/>
      <c r="M26" s="74"/>
      <c r="N26" s="74">
        <f t="shared" si="1"/>
        <v>14000000</v>
      </c>
      <c r="O26" s="91">
        <f t="shared" si="2"/>
        <v>4</v>
      </c>
      <c r="P26" s="72">
        <f t="shared" si="26"/>
        <v>48</v>
      </c>
      <c r="Q26" s="72">
        <f t="shared" si="3"/>
        <v>5</v>
      </c>
      <c r="R26" s="92">
        <f t="shared" si="4"/>
        <v>2008</v>
      </c>
      <c r="S26" s="93">
        <f t="shared" si="5"/>
        <v>4</v>
      </c>
      <c r="T26" s="94">
        <f t="shared" si="6"/>
        <v>2012</v>
      </c>
      <c r="U26" s="96">
        <f t="shared" si="27"/>
        <v>291666.66666666669</v>
      </c>
      <c r="V26" s="73">
        <v>0</v>
      </c>
      <c r="W26" s="73">
        <v>48</v>
      </c>
      <c r="X26" s="96">
        <f t="shared" si="7"/>
        <v>0</v>
      </c>
      <c r="Y26" s="96">
        <v>14000000</v>
      </c>
      <c r="Z26" s="96">
        <f t="shared" si="8"/>
        <v>0</v>
      </c>
      <c r="AA26" s="73">
        <f t="shared" si="9"/>
        <v>0</v>
      </c>
      <c r="AB26" s="73">
        <f t="shared" si="28"/>
        <v>48</v>
      </c>
      <c r="AC26" s="96">
        <f t="shared" si="10"/>
        <v>0</v>
      </c>
      <c r="AD26" s="96">
        <f t="shared" si="29"/>
        <v>14000000</v>
      </c>
      <c r="AE26" s="96">
        <f t="shared" si="11"/>
        <v>0</v>
      </c>
      <c r="AF26" s="73">
        <f t="shared" si="43"/>
        <v>0</v>
      </c>
      <c r="AG26" s="73">
        <f t="shared" si="30"/>
        <v>48</v>
      </c>
      <c r="AH26" s="96">
        <f t="shared" si="31"/>
        <v>0</v>
      </c>
      <c r="AI26" s="96">
        <f t="shared" si="12"/>
        <v>14000000</v>
      </c>
      <c r="AJ26" s="96">
        <f t="shared" si="13"/>
        <v>0</v>
      </c>
      <c r="AK26" s="73">
        <f t="shared" si="32"/>
        <v>0</v>
      </c>
      <c r="AL26" s="73">
        <f t="shared" si="33"/>
        <v>48</v>
      </c>
      <c r="AM26" s="96">
        <f t="shared" si="34"/>
        <v>0</v>
      </c>
      <c r="AN26" s="96">
        <f t="shared" si="35"/>
        <v>14000000</v>
      </c>
      <c r="AO26" s="96">
        <f t="shared" si="36"/>
        <v>0</v>
      </c>
      <c r="AP26" s="73">
        <f t="shared" si="37"/>
        <v>0</v>
      </c>
      <c r="AQ26" s="73">
        <f t="shared" si="38"/>
        <v>48</v>
      </c>
      <c r="AR26" s="96">
        <f t="shared" si="39"/>
        <v>0</v>
      </c>
      <c r="AS26" s="96">
        <f t="shared" si="40"/>
        <v>14000000</v>
      </c>
      <c r="AT26" s="96">
        <f t="shared" si="41"/>
        <v>0</v>
      </c>
      <c r="AU26" s="60"/>
      <c r="AV26" s="202">
        <f t="shared" si="42"/>
        <v>0</v>
      </c>
      <c r="AW26" s="203">
        <f t="shared" si="14"/>
        <v>0</v>
      </c>
      <c r="AX26" s="203">
        <f t="shared" si="15"/>
        <v>0</v>
      </c>
      <c r="AY26" s="203">
        <f t="shared" si="16"/>
        <v>0</v>
      </c>
      <c r="AZ26" s="203">
        <f t="shared" si="17"/>
        <v>0</v>
      </c>
      <c r="BA26" s="203">
        <f t="shared" si="18"/>
        <v>0</v>
      </c>
      <c r="BB26" s="203">
        <f t="shared" si="19"/>
        <v>0</v>
      </c>
      <c r="BC26" s="203">
        <f t="shared" si="20"/>
        <v>0</v>
      </c>
      <c r="BD26" s="203">
        <f t="shared" si="21"/>
        <v>0</v>
      </c>
      <c r="BE26" s="203">
        <f t="shared" si="22"/>
        <v>0</v>
      </c>
      <c r="BF26" s="203">
        <f t="shared" si="23"/>
        <v>0</v>
      </c>
      <c r="BG26" s="203">
        <f t="shared" si="24"/>
        <v>0</v>
      </c>
      <c r="BH26" s="203">
        <f t="shared" si="25"/>
        <v>0</v>
      </c>
    </row>
    <row r="27" spans="2:60" x14ac:dyDescent="0.2">
      <c r="B27" s="68"/>
      <c r="C27" s="89">
        <v>39593</v>
      </c>
      <c r="D27" s="70"/>
      <c r="E27" s="71" t="s">
        <v>127</v>
      </c>
      <c r="F27" s="72"/>
      <c r="G27" s="90">
        <v>0.25</v>
      </c>
      <c r="H27" s="74">
        <v>876500</v>
      </c>
      <c r="I27" s="74"/>
      <c r="J27" s="74"/>
      <c r="K27" s="74">
        <f t="shared" si="0"/>
        <v>876500</v>
      </c>
      <c r="L27" s="74"/>
      <c r="M27" s="74"/>
      <c r="N27" s="74">
        <f t="shared" si="1"/>
        <v>876500</v>
      </c>
      <c r="O27" s="91">
        <f t="shared" si="2"/>
        <v>4</v>
      </c>
      <c r="P27" s="72">
        <f t="shared" si="26"/>
        <v>48</v>
      </c>
      <c r="Q27" s="72">
        <f t="shared" si="3"/>
        <v>5</v>
      </c>
      <c r="R27" s="92">
        <f t="shared" si="4"/>
        <v>2008</v>
      </c>
      <c r="S27" s="93">
        <f t="shared" si="5"/>
        <v>4</v>
      </c>
      <c r="T27" s="94">
        <f t="shared" si="6"/>
        <v>2012</v>
      </c>
      <c r="U27" s="96">
        <f t="shared" si="27"/>
        <v>18260.416666666668</v>
      </c>
      <c r="V27" s="73">
        <v>0</v>
      </c>
      <c r="W27" s="73">
        <v>48</v>
      </c>
      <c r="X27" s="96">
        <f t="shared" si="7"/>
        <v>0</v>
      </c>
      <c r="Y27" s="96">
        <v>876500</v>
      </c>
      <c r="Z27" s="96">
        <f t="shared" si="8"/>
        <v>0</v>
      </c>
      <c r="AA27" s="73">
        <f t="shared" si="9"/>
        <v>0</v>
      </c>
      <c r="AB27" s="73">
        <f t="shared" si="28"/>
        <v>48</v>
      </c>
      <c r="AC27" s="96">
        <f t="shared" si="10"/>
        <v>0</v>
      </c>
      <c r="AD27" s="96">
        <f t="shared" si="29"/>
        <v>876500</v>
      </c>
      <c r="AE27" s="96">
        <f t="shared" si="11"/>
        <v>0</v>
      </c>
      <c r="AF27" s="73">
        <f t="shared" si="43"/>
        <v>0</v>
      </c>
      <c r="AG27" s="73">
        <f t="shared" si="30"/>
        <v>48</v>
      </c>
      <c r="AH27" s="96">
        <f t="shared" si="31"/>
        <v>0</v>
      </c>
      <c r="AI27" s="96">
        <f t="shared" si="12"/>
        <v>876500</v>
      </c>
      <c r="AJ27" s="96">
        <f t="shared" si="13"/>
        <v>0</v>
      </c>
      <c r="AK27" s="73">
        <f t="shared" si="32"/>
        <v>0</v>
      </c>
      <c r="AL27" s="73">
        <f t="shared" si="33"/>
        <v>48</v>
      </c>
      <c r="AM27" s="96">
        <f t="shared" si="34"/>
        <v>0</v>
      </c>
      <c r="AN27" s="96">
        <f t="shared" si="35"/>
        <v>876500</v>
      </c>
      <c r="AO27" s="96">
        <f t="shared" si="36"/>
        <v>0</v>
      </c>
      <c r="AP27" s="73">
        <f t="shared" si="37"/>
        <v>0</v>
      </c>
      <c r="AQ27" s="73">
        <f t="shared" si="38"/>
        <v>48</v>
      </c>
      <c r="AR27" s="96">
        <f t="shared" si="39"/>
        <v>0</v>
      </c>
      <c r="AS27" s="96">
        <f t="shared" si="40"/>
        <v>876500</v>
      </c>
      <c r="AT27" s="96">
        <f t="shared" si="41"/>
        <v>0</v>
      </c>
      <c r="AU27" s="60"/>
      <c r="AV27" s="202">
        <f t="shared" si="42"/>
        <v>0</v>
      </c>
      <c r="AW27" s="203">
        <f t="shared" si="14"/>
        <v>0</v>
      </c>
      <c r="AX27" s="203">
        <f t="shared" si="15"/>
        <v>0</v>
      </c>
      <c r="AY27" s="203">
        <f t="shared" si="16"/>
        <v>0</v>
      </c>
      <c r="AZ27" s="203">
        <f t="shared" si="17"/>
        <v>0</v>
      </c>
      <c r="BA27" s="203">
        <f t="shared" si="18"/>
        <v>0</v>
      </c>
      <c r="BB27" s="203">
        <f t="shared" si="19"/>
        <v>0</v>
      </c>
      <c r="BC27" s="203">
        <f t="shared" si="20"/>
        <v>0</v>
      </c>
      <c r="BD27" s="203">
        <f t="shared" si="21"/>
        <v>0</v>
      </c>
      <c r="BE27" s="203">
        <f t="shared" si="22"/>
        <v>0</v>
      </c>
      <c r="BF27" s="203">
        <f t="shared" si="23"/>
        <v>0</v>
      </c>
      <c r="BG27" s="203">
        <f t="shared" si="24"/>
        <v>0</v>
      </c>
      <c r="BH27" s="203">
        <f t="shared" si="25"/>
        <v>0</v>
      </c>
    </row>
    <row r="28" spans="2:60" x14ac:dyDescent="0.2">
      <c r="B28" s="68"/>
      <c r="C28" s="89">
        <v>39594</v>
      </c>
      <c r="D28" s="70"/>
      <c r="E28" s="71" t="s">
        <v>128</v>
      </c>
      <c r="F28" s="72"/>
      <c r="G28" s="90">
        <v>0.25</v>
      </c>
      <c r="H28" s="74">
        <v>575000</v>
      </c>
      <c r="I28" s="74"/>
      <c r="J28" s="74"/>
      <c r="K28" s="74">
        <f t="shared" si="0"/>
        <v>575000</v>
      </c>
      <c r="L28" s="74"/>
      <c r="M28" s="74"/>
      <c r="N28" s="74">
        <f t="shared" si="1"/>
        <v>575000</v>
      </c>
      <c r="O28" s="91">
        <f t="shared" si="2"/>
        <v>4</v>
      </c>
      <c r="P28" s="72">
        <f t="shared" si="26"/>
        <v>48</v>
      </c>
      <c r="Q28" s="72">
        <f t="shared" si="3"/>
        <v>5</v>
      </c>
      <c r="R28" s="92">
        <f t="shared" si="4"/>
        <v>2008</v>
      </c>
      <c r="S28" s="93">
        <f t="shared" si="5"/>
        <v>4</v>
      </c>
      <c r="T28" s="94">
        <f t="shared" si="6"/>
        <v>2012</v>
      </c>
      <c r="U28" s="96">
        <f t="shared" si="27"/>
        <v>11979.166666666666</v>
      </c>
      <c r="V28" s="73">
        <v>0</v>
      </c>
      <c r="W28" s="73">
        <v>48</v>
      </c>
      <c r="X28" s="96">
        <f t="shared" si="7"/>
        <v>0</v>
      </c>
      <c r="Y28" s="96">
        <v>575000</v>
      </c>
      <c r="Z28" s="96">
        <f t="shared" si="8"/>
        <v>0</v>
      </c>
      <c r="AA28" s="73">
        <f t="shared" si="9"/>
        <v>0</v>
      </c>
      <c r="AB28" s="73">
        <f t="shared" si="28"/>
        <v>48</v>
      </c>
      <c r="AC28" s="96">
        <f t="shared" si="10"/>
        <v>0</v>
      </c>
      <c r="AD28" s="96">
        <f t="shared" si="29"/>
        <v>575000</v>
      </c>
      <c r="AE28" s="96">
        <f t="shared" si="11"/>
        <v>0</v>
      </c>
      <c r="AF28" s="73">
        <f t="shared" si="43"/>
        <v>0</v>
      </c>
      <c r="AG28" s="73">
        <f t="shared" si="30"/>
        <v>48</v>
      </c>
      <c r="AH28" s="96">
        <f t="shared" si="31"/>
        <v>0</v>
      </c>
      <c r="AI28" s="96">
        <f t="shared" si="12"/>
        <v>575000</v>
      </c>
      <c r="AJ28" s="96">
        <f t="shared" si="13"/>
        <v>0</v>
      </c>
      <c r="AK28" s="73">
        <f t="shared" si="32"/>
        <v>0</v>
      </c>
      <c r="AL28" s="73">
        <f t="shared" si="33"/>
        <v>48</v>
      </c>
      <c r="AM28" s="96">
        <f t="shared" si="34"/>
        <v>0</v>
      </c>
      <c r="AN28" s="96">
        <f t="shared" si="35"/>
        <v>575000</v>
      </c>
      <c r="AO28" s="96">
        <f t="shared" si="36"/>
        <v>0</v>
      </c>
      <c r="AP28" s="73">
        <f t="shared" si="37"/>
        <v>0</v>
      </c>
      <c r="AQ28" s="73">
        <f t="shared" si="38"/>
        <v>48</v>
      </c>
      <c r="AR28" s="96">
        <f t="shared" si="39"/>
        <v>0</v>
      </c>
      <c r="AS28" s="96">
        <f t="shared" si="40"/>
        <v>575000</v>
      </c>
      <c r="AT28" s="96">
        <f t="shared" si="41"/>
        <v>0</v>
      </c>
      <c r="AU28" s="60"/>
      <c r="AV28" s="202">
        <f t="shared" si="42"/>
        <v>0</v>
      </c>
      <c r="AW28" s="203">
        <f t="shared" si="14"/>
        <v>0</v>
      </c>
      <c r="AX28" s="203">
        <f t="shared" si="15"/>
        <v>0</v>
      </c>
      <c r="AY28" s="203">
        <f t="shared" si="16"/>
        <v>0</v>
      </c>
      <c r="AZ28" s="203">
        <f t="shared" si="17"/>
        <v>0</v>
      </c>
      <c r="BA28" s="203">
        <f t="shared" si="18"/>
        <v>0</v>
      </c>
      <c r="BB28" s="203">
        <f t="shared" si="19"/>
        <v>0</v>
      </c>
      <c r="BC28" s="203">
        <f t="shared" si="20"/>
        <v>0</v>
      </c>
      <c r="BD28" s="203">
        <f t="shared" si="21"/>
        <v>0</v>
      </c>
      <c r="BE28" s="203">
        <f t="shared" si="22"/>
        <v>0</v>
      </c>
      <c r="BF28" s="203">
        <f t="shared" si="23"/>
        <v>0</v>
      </c>
      <c r="BG28" s="203">
        <f t="shared" si="24"/>
        <v>0</v>
      </c>
      <c r="BH28" s="203">
        <f t="shared" si="25"/>
        <v>0</v>
      </c>
    </row>
    <row r="29" spans="2:60" x14ac:dyDescent="0.2">
      <c r="B29" s="68"/>
      <c r="C29" s="89">
        <v>39644</v>
      </c>
      <c r="D29" s="70"/>
      <c r="E29" s="71" t="s">
        <v>129</v>
      </c>
      <c r="F29" s="72"/>
      <c r="G29" s="90">
        <v>0.25</v>
      </c>
      <c r="H29" s="74">
        <v>950000</v>
      </c>
      <c r="I29" s="74"/>
      <c r="J29" s="74"/>
      <c r="K29" s="74">
        <f t="shared" si="0"/>
        <v>950000</v>
      </c>
      <c r="L29" s="74"/>
      <c r="M29" s="74"/>
      <c r="N29" s="74">
        <f t="shared" si="1"/>
        <v>950000</v>
      </c>
      <c r="O29" s="91">
        <f t="shared" si="2"/>
        <v>4</v>
      </c>
      <c r="P29" s="72">
        <f t="shared" si="26"/>
        <v>48</v>
      </c>
      <c r="Q29" s="72">
        <f t="shared" si="3"/>
        <v>7</v>
      </c>
      <c r="R29" s="92">
        <f t="shared" si="4"/>
        <v>2008</v>
      </c>
      <c r="S29" s="93">
        <f t="shared" si="5"/>
        <v>6</v>
      </c>
      <c r="T29" s="94">
        <f t="shared" si="6"/>
        <v>2012</v>
      </c>
      <c r="U29" s="96">
        <f t="shared" si="27"/>
        <v>19791.666666666668</v>
      </c>
      <c r="V29" s="73">
        <v>0</v>
      </c>
      <c r="W29" s="73">
        <v>48</v>
      </c>
      <c r="X29" s="96">
        <f t="shared" si="7"/>
        <v>0</v>
      </c>
      <c r="Y29" s="96">
        <v>950000</v>
      </c>
      <c r="Z29" s="96">
        <f t="shared" si="8"/>
        <v>0</v>
      </c>
      <c r="AA29" s="73">
        <f t="shared" si="9"/>
        <v>0</v>
      </c>
      <c r="AB29" s="73">
        <f t="shared" si="28"/>
        <v>48</v>
      </c>
      <c r="AC29" s="96">
        <f t="shared" si="10"/>
        <v>0</v>
      </c>
      <c r="AD29" s="96">
        <f t="shared" si="29"/>
        <v>950000</v>
      </c>
      <c r="AE29" s="96">
        <f t="shared" si="11"/>
        <v>0</v>
      </c>
      <c r="AF29" s="73">
        <f t="shared" si="43"/>
        <v>0</v>
      </c>
      <c r="AG29" s="73">
        <f t="shared" si="30"/>
        <v>48</v>
      </c>
      <c r="AH29" s="96">
        <f t="shared" si="31"/>
        <v>0</v>
      </c>
      <c r="AI29" s="96">
        <f t="shared" si="12"/>
        <v>950000</v>
      </c>
      <c r="AJ29" s="96">
        <f t="shared" si="13"/>
        <v>0</v>
      </c>
      <c r="AK29" s="73">
        <f t="shared" si="32"/>
        <v>0</v>
      </c>
      <c r="AL29" s="73">
        <f t="shared" si="33"/>
        <v>48</v>
      </c>
      <c r="AM29" s="96">
        <f t="shared" si="34"/>
        <v>0</v>
      </c>
      <c r="AN29" s="96">
        <f t="shared" si="35"/>
        <v>950000</v>
      </c>
      <c r="AO29" s="96">
        <f t="shared" si="36"/>
        <v>0</v>
      </c>
      <c r="AP29" s="73">
        <f t="shared" si="37"/>
        <v>0</v>
      </c>
      <c r="AQ29" s="73">
        <f t="shared" si="38"/>
        <v>48</v>
      </c>
      <c r="AR29" s="96">
        <f t="shared" si="39"/>
        <v>0</v>
      </c>
      <c r="AS29" s="96">
        <f t="shared" si="40"/>
        <v>950000</v>
      </c>
      <c r="AT29" s="96">
        <f t="shared" si="41"/>
        <v>0</v>
      </c>
      <c r="AU29" s="60"/>
      <c r="AV29" s="202">
        <f t="shared" si="42"/>
        <v>0</v>
      </c>
      <c r="AW29" s="203">
        <f t="shared" si="14"/>
        <v>0</v>
      </c>
      <c r="AX29" s="203">
        <f t="shared" si="15"/>
        <v>0</v>
      </c>
      <c r="AY29" s="203">
        <f t="shared" si="16"/>
        <v>0</v>
      </c>
      <c r="AZ29" s="203">
        <f t="shared" si="17"/>
        <v>0</v>
      </c>
      <c r="BA29" s="203">
        <f t="shared" si="18"/>
        <v>0</v>
      </c>
      <c r="BB29" s="203">
        <f t="shared" si="19"/>
        <v>0</v>
      </c>
      <c r="BC29" s="203">
        <f t="shared" si="20"/>
        <v>0</v>
      </c>
      <c r="BD29" s="203">
        <f t="shared" si="21"/>
        <v>0</v>
      </c>
      <c r="BE29" s="203">
        <f t="shared" si="22"/>
        <v>0</v>
      </c>
      <c r="BF29" s="203">
        <f t="shared" si="23"/>
        <v>0</v>
      </c>
      <c r="BG29" s="203">
        <f t="shared" si="24"/>
        <v>0</v>
      </c>
      <c r="BH29" s="203">
        <f t="shared" si="25"/>
        <v>0</v>
      </c>
    </row>
    <row r="30" spans="2:60" x14ac:dyDescent="0.2">
      <c r="B30" s="68"/>
      <c r="C30" s="89">
        <v>39841</v>
      </c>
      <c r="D30" s="70"/>
      <c r="E30" s="71" t="s">
        <v>130</v>
      </c>
      <c r="F30" s="72"/>
      <c r="G30" s="90">
        <v>0.25</v>
      </c>
      <c r="H30" s="74">
        <v>4500000</v>
      </c>
      <c r="I30" s="74"/>
      <c r="J30" s="74"/>
      <c r="K30" s="74">
        <f t="shared" si="0"/>
        <v>4500000</v>
      </c>
      <c r="L30" s="74"/>
      <c r="M30" s="74"/>
      <c r="N30" s="74">
        <f t="shared" si="1"/>
        <v>4500000</v>
      </c>
      <c r="O30" s="91">
        <f t="shared" si="2"/>
        <v>4</v>
      </c>
      <c r="P30" s="72">
        <f>O30*12</f>
        <v>48</v>
      </c>
      <c r="Q30" s="72">
        <f t="shared" si="3"/>
        <v>1</v>
      </c>
      <c r="R30" s="92">
        <f t="shared" si="4"/>
        <v>2009</v>
      </c>
      <c r="S30" s="93">
        <f t="shared" si="5"/>
        <v>12</v>
      </c>
      <c r="T30" s="94">
        <f t="shared" si="6"/>
        <v>2012</v>
      </c>
      <c r="U30" s="96">
        <f>K30/P30</f>
        <v>93750</v>
      </c>
      <c r="V30" s="73">
        <v>0</v>
      </c>
      <c r="W30" s="73">
        <v>48</v>
      </c>
      <c r="X30" s="96">
        <f t="shared" si="7"/>
        <v>0</v>
      </c>
      <c r="Y30" s="96">
        <v>4500000</v>
      </c>
      <c r="Z30" s="96">
        <f t="shared" si="8"/>
        <v>0</v>
      </c>
      <c r="AA30" s="73">
        <f t="shared" si="9"/>
        <v>0</v>
      </c>
      <c r="AB30" s="73">
        <f t="shared" si="28"/>
        <v>48</v>
      </c>
      <c r="AC30" s="96">
        <f t="shared" si="10"/>
        <v>0</v>
      </c>
      <c r="AD30" s="96">
        <f t="shared" si="29"/>
        <v>4500000</v>
      </c>
      <c r="AE30" s="96">
        <f t="shared" si="11"/>
        <v>0</v>
      </c>
      <c r="AF30" s="73">
        <f t="shared" si="43"/>
        <v>0</v>
      </c>
      <c r="AG30" s="73">
        <f t="shared" si="30"/>
        <v>48</v>
      </c>
      <c r="AH30" s="96">
        <f t="shared" si="31"/>
        <v>0</v>
      </c>
      <c r="AI30" s="96">
        <f t="shared" si="12"/>
        <v>4500000</v>
      </c>
      <c r="AJ30" s="96">
        <f t="shared" si="13"/>
        <v>0</v>
      </c>
      <c r="AK30" s="73">
        <f t="shared" si="32"/>
        <v>0</v>
      </c>
      <c r="AL30" s="73">
        <f t="shared" si="33"/>
        <v>48</v>
      </c>
      <c r="AM30" s="96">
        <f t="shared" si="34"/>
        <v>0</v>
      </c>
      <c r="AN30" s="96">
        <f t="shared" si="35"/>
        <v>4500000</v>
      </c>
      <c r="AO30" s="96">
        <f t="shared" si="36"/>
        <v>0</v>
      </c>
      <c r="AP30" s="73">
        <f t="shared" si="37"/>
        <v>0</v>
      </c>
      <c r="AQ30" s="73">
        <f t="shared" si="38"/>
        <v>48</v>
      </c>
      <c r="AR30" s="96">
        <f t="shared" si="39"/>
        <v>0</v>
      </c>
      <c r="AS30" s="96">
        <f t="shared" si="40"/>
        <v>4500000</v>
      </c>
      <c r="AT30" s="96">
        <f t="shared" si="41"/>
        <v>0</v>
      </c>
      <c r="AU30" s="60"/>
      <c r="AV30" s="202">
        <f t="shared" si="42"/>
        <v>0</v>
      </c>
      <c r="AW30" s="203">
        <f t="shared" si="14"/>
        <v>0</v>
      </c>
      <c r="AX30" s="203">
        <f t="shared" si="15"/>
        <v>0</v>
      </c>
      <c r="AY30" s="203">
        <f t="shared" si="16"/>
        <v>0</v>
      </c>
      <c r="AZ30" s="203">
        <f t="shared" si="17"/>
        <v>0</v>
      </c>
      <c r="BA30" s="203">
        <f t="shared" si="18"/>
        <v>0</v>
      </c>
      <c r="BB30" s="203">
        <f t="shared" si="19"/>
        <v>0</v>
      </c>
      <c r="BC30" s="203">
        <f t="shared" si="20"/>
        <v>0</v>
      </c>
      <c r="BD30" s="203">
        <f t="shared" si="21"/>
        <v>0</v>
      </c>
      <c r="BE30" s="203">
        <f t="shared" si="22"/>
        <v>0</v>
      </c>
      <c r="BF30" s="203">
        <f t="shared" si="23"/>
        <v>0</v>
      </c>
      <c r="BG30" s="203">
        <f t="shared" si="24"/>
        <v>0</v>
      </c>
      <c r="BH30" s="203">
        <f t="shared" si="25"/>
        <v>0</v>
      </c>
    </row>
    <row r="31" spans="2:60" x14ac:dyDescent="0.2">
      <c r="B31" s="68"/>
      <c r="C31" s="89">
        <v>39841</v>
      </c>
      <c r="D31" s="70"/>
      <c r="E31" s="71" t="s">
        <v>131</v>
      </c>
      <c r="F31" s="72"/>
      <c r="G31" s="90">
        <v>0.25</v>
      </c>
      <c r="H31" s="74">
        <v>4000000</v>
      </c>
      <c r="I31" s="74"/>
      <c r="J31" s="74"/>
      <c r="K31" s="74">
        <f t="shared" si="0"/>
        <v>4000000</v>
      </c>
      <c r="L31" s="74"/>
      <c r="M31" s="74"/>
      <c r="N31" s="74">
        <f t="shared" si="1"/>
        <v>4000000</v>
      </c>
      <c r="O31" s="91">
        <f t="shared" si="2"/>
        <v>4</v>
      </c>
      <c r="P31" s="72">
        <f t="shared" ref="P31:P44" si="44">O31*12</f>
        <v>48</v>
      </c>
      <c r="Q31" s="72">
        <f t="shared" si="3"/>
        <v>1</v>
      </c>
      <c r="R31" s="92">
        <f t="shared" si="4"/>
        <v>2009</v>
      </c>
      <c r="S31" s="93">
        <f t="shared" si="5"/>
        <v>12</v>
      </c>
      <c r="T31" s="94">
        <f t="shared" si="6"/>
        <v>2012</v>
      </c>
      <c r="U31" s="96">
        <f t="shared" ref="U31:U44" si="45">K31/P31</f>
        <v>83333.333333333328</v>
      </c>
      <c r="V31" s="73">
        <v>0</v>
      </c>
      <c r="W31" s="73">
        <v>48</v>
      </c>
      <c r="X31" s="96">
        <f t="shared" si="7"/>
        <v>0</v>
      </c>
      <c r="Y31" s="96">
        <v>4000000</v>
      </c>
      <c r="Z31" s="96">
        <f t="shared" si="8"/>
        <v>0</v>
      </c>
      <c r="AA31" s="73">
        <f t="shared" si="9"/>
        <v>0</v>
      </c>
      <c r="AB31" s="73">
        <f t="shared" si="28"/>
        <v>48</v>
      </c>
      <c r="AC31" s="96">
        <f t="shared" si="10"/>
        <v>0</v>
      </c>
      <c r="AD31" s="96">
        <f t="shared" si="29"/>
        <v>4000000</v>
      </c>
      <c r="AE31" s="96">
        <f t="shared" si="11"/>
        <v>0</v>
      </c>
      <c r="AF31" s="73">
        <f t="shared" si="43"/>
        <v>0</v>
      </c>
      <c r="AG31" s="73">
        <f t="shared" si="30"/>
        <v>48</v>
      </c>
      <c r="AH31" s="96">
        <f t="shared" si="31"/>
        <v>0</v>
      </c>
      <c r="AI31" s="96">
        <f t="shared" si="12"/>
        <v>4000000</v>
      </c>
      <c r="AJ31" s="96">
        <f t="shared" si="13"/>
        <v>0</v>
      </c>
      <c r="AK31" s="73">
        <f t="shared" si="32"/>
        <v>0</v>
      </c>
      <c r="AL31" s="73">
        <f t="shared" si="33"/>
        <v>48</v>
      </c>
      <c r="AM31" s="96">
        <f t="shared" si="34"/>
        <v>0</v>
      </c>
      <c r="AN31" s="96">
        <f t="shared" si="35"/>
        <v>4000000</v>
      </c>
      <c r="AO31" s="96">
        <f t="shared" si="36"/>
        <v>0</v>
      </c>
      <c r="AP31" s="73">
        <f t="shared" si="37"/>
        <v>0</v>
      </c>
      <c r="AQ31" s="73">
        <f t="shared" si="38"/>
        <v>48</v>
      </c>
      <c r="AR31" s="96">
        <f t="shared" si="39"/>
        <v>0</v>
      </c>
      <c r="AS31" s="96">
        <f t="shared" si="40"/>
        <v>4000000</v>
      </c>
      <c r="AT31" s="96">
        <f t="shared" si="41"/>
        <v>0</v>
      </c>
      <c r="AU31" s="60"/>
      <c r="AV31" s="202">
        <f t="shared" si="42"/>
        <v>0</v>
      </c>
      <c r="AW31" s="203">
        <f t="shared" si="14"/>
        <v>0</v>
      </c>
      <c r="AX31" s="203">
        <f t="shared" si="15"/>
        <v>0</v>
      </c>
      <c r="AY31" s="203">
        <f t="shared" si="16"/>
        <v>0</v>
      </c>
      <c r="AZ31" s="203">
        <f t="shared" si="17"/>
        <v>0</v>
      </c>
      <c r="BA31" s="203">
        <f t="shared" si="18"/>
        <v>0</v>
      </c>
      <c r="BB31" s="203">
        <f t="shared" si="19"/>
        <v>0</v>
      </c>
      <c r="BC31" s="203">
        <f t="shared" si="20"/>
        <v>0</v>
      </c>
      <c r="BD31" s="203">
        <f t="shared" si="21"/>
        <v>0</v>
      </c>
      <c r="BE31" s="203">
        <f t="shared" si="22"/>
        <v>0</v>
      </c>
      <c r="BF31" s="203">
        <f t="shared" si="23"/>
        <v>0</v>
      </c>
      <c r="BG31" s="203">
        <f t="shared" si="24"/>
        <v>0</v>
      </c>
      <c r="BH31" s="203">
        <f t="shared" si="25"/>
        <v>0</v>
      </c>
    </row>
    <row r="32" spans="2:60" x14ac:dyDescent="0.2">
      <c r="B32" s="68"/>
      <c r="C32" s="89">
        <v>40318</v>
      </c>
      <c r="D32" s="70"/>
      <c r="E32" s="71" t="s">
        <v>132</v>
      </c>
      <c r="F32" s="72"/>
      <c r="G32" s="90">
        <v>0.25</v>
      </c>
      <c r="H32" s="74">
        <v>1320000</v>
      </c>
      <c r="I32" s="74"/>
      <c r="J32" s="74"/>
      <c r="K32" s="74">
        <f t="shared" si="0"/>
        <v>1320000</v>
      </c>
      <c r="L32" s="74"/>
      <c r="M32" s="74"/>
      <c r="N32" s="74">
        <f t="shared" si="1"/>
        <v>1320000</v>
      </c>
      <c r="O32" s="91">
        <f t="shared" si="2"/>
        <v>4</v>
      </c>
      <c r="P32" s="72">
        <f t="shared" si="44"/>
        <v>48</v>
      </c>
      <c r="Q32" s="72">
        <f t="shared" si="3"/>
        <v>5</v>
      </c>
      <c r="R32" s="92">
        <f t="shared" si="4"/>
        <v>2010</v>
      </c>
      <c r="S32" s="93">
        <f t="shared" si="5"/>
        <v>4</v>
      </c>
      <c r="T32" s="94">
        <f t="shared" si="6"/>
        <v>2014</v>
      </c>
      <c r="U32" s="96">
        <f t="shared" si="45"/>
        <v>27500</v>
      </c>
      <c r="V32" s="73">
        <v>0</v>
      </c>
      <c r="W32" s="73">
        <v>48</v>
      </c>
      <c r="X32" s="96">
        <f t="shared" si="7"/>
        <v>0</v>
      </c>
      <c r="Y32" s="96">
        <v>1320000</v>
      </c>
      <c r="Z32" s="96">
        <f t="shared" si="8"/>
        <v>0</v>
      </c>
      <c r="AA32" s="73">
        <f t="shared" si="9"/>
        <v>0</v>
      </c>
      <c r="AB32" s="73">
        <f t="shared" si="28"/>
        <v>48</v>
      </c>
      <c r="AC32" s="96">
        <f t="shared" si="10"/>
        <v>0</v>
      </c>
      <c r="AD32" s="96">
        <f t="shared" si="29"/>
        <v>1320000</v>
      </c>
      <c r="AE32" s="96">
        <f t="shared" si="11"/>
        <v>0</v>
      </c>
      <c r="AF32" s="73">
        <f t="shared" si="43"/>
        <v>0</v>
      </c>
      <c r="AG32" s="73">
        <f t="shared" si="30"/>
        <v>48</v>
      </c>
      <c r="AH32" s="96">
        <f t="shared" si="31"/>
        <v>0</v>
      </c>
      <c r="AI32" s="96">
        <f t="shared" si="12"/>
        <v>1320000</v>
      </c>
      <c r="AJ32" s="96">
        <f t="shared" si="13"/>
        <v>0</v>
      </c>
      <c r="AK32" s="73">
        <f t="shared" si="32"/>
        <v>0</v>
      </c>
      <c r="AL32" s="73">
        <f t="shared" si="33"/>
        <v>48</v>
      </c>
      <c r="AM32" s="96">
        <f t="shared" si="34"/>
        <v>0</v>
      </c>
      <c r="AN32" s="96">
        <f t="shared" si="35"/>
        <v>1320000</v>
      </c>
      <c r="AO32" s="96">
        <f t="shared" si="36"/>
        <v>0</v>
      </c>
      <c r="AP32" s="73">
        <f t="shared" si="37"/>
        <v>0</v>
      </c>
      <c r="AQ32" s="73">
        <f t="shared" si="38"/>
        <v>48</v>
      </c>
      <c r="AR32" s="96">
        <f t="shared" si="39"/>
        <v>0</v>
      </c>
      <c r="AS32" s="96">
        <f t="shared" si="40"/>
        <v>1320000</v>
      </c>
      <c r="AT32" s="96">
        <f t="shared" si="41"/>
        <v>0</v>
      </c>
      <c r="AU32" s="60"/>
      <c r="AV32" s="202">
        <f t="shared" si="42"/>
        <v>0</v>
      </c>
      <c r="AW32" s="203">
        <f t="shared" si="14"/>
        <v>0</v>
      </c>
      <c r="AX32" s="203">
        <f t="shared" si="15"/>
        <v>0</v>
      </c>
      <c r="AY32" s="203">
        <f t="shared" si="16"/>
        <v>0</v>
      </c>
      <c r="AZ32" s="203">
        <f t="shared" si="17"/>
        <v>0</v>
      </c>
      <c r="BA32" s="203">
        <f t="shared" si="18"/>
        <v>0</v>
      </c>
      <c r="BB32" s="203">
        <f t="shared" si="19"/>
        <v>0</v>
      </c>
      <c r="BC32" s="203">
        <f t="shared" si="20"/>
        <v>0</v>
      </c>
      <c r="BD32" s="203">
        <f t="shared" si="21"/>
        <v>0</v>
      </c>
      <c r="BE32" s="203">
        <f t="shared" si="22"/>
        <v>0</v>
      </c>
      <c r="BF32" s="203">
        <f t="shared" si="23"/>
        <v>0</v>
      </c>
      <c r="BG32" s="203">
        <f t="shared" si="24"/>
        <v>0</v>
      </c>
      <c r="BH32" s="203">
        <f t="shared" si="25"/>
        <v>0</v>
      </c>
    </row>
    <row r="33" spans="2:60" x14ac:dyDescent="0.2">
      <c r="B33" s="68"/>
      <c r="C33" s="89">
        <v>40318</v>
      </c>
      <c r="D33" s="70"/>
      <c r="E33" s="71" t="s">
        <v>133</v>
      </c>
      <c r="F33" s="72"/>
      <c r="G33" s="90">
        <v>0.25</v>
      </c>
      <c r="H33" s="74">
        <v>800000</v>
      </c>
      <c r="I33" s="74"/>
      <c r="J33" s="74"/>
      <c r="K33" s="74">
        <f t="shared" si="0"/>
        <v>800000</v>
      </c>
      <c r="L33" s="74"/>
      <c r="M33" s="74"/>
      <c r="N33" s="74">
        <f t="shared" si="1"/>
        <v>800000</v>
      </c>
      <c r="O33" s="91">
        <f t="shared" si="2"/>
        <v>4</v>
      </c>
      <c r="P33" s="72">
        <f t="shared" si="44"/>
        <v>48</v>
      </c>
      <c r="Q33" s="72">
        <f t="shared" si="3"/>
        <v>5</v>
      </c>
      <c r="R33" s="92">
        <f t="shared" si="4"/>
        <v>2010</v>
      </c>
      <c r="S33" s="93">
        <f t="shared" si="5"/>
        <v>4</v>
      </c>
      <c r="T33" s="94">
        <f t="shared" si="6"/>
        <v>2014</v>
      </c>
      <c r="U33" s="96">
        <f t="shared" si="45"/>
        <v>16666.666666666668</v>
      </c>
      <c r="V33" s="73">
        <v>0</v>
      </c>
      <c r="W33" s="73">
        <v>48</v>
      </c>
      <c r="X33" s="96">
        <f t="shared" si="7"/>
        <v>0</v>
      </c>
      <c r="Y33" s="96">
        <v>800000</v>
      </c>
      <c r="Z33" s="96">
        <f t="shared" si="8"/>
        <v>0</v>
      </c>
      <c r="AA33" s="73">
        <f t="shared" si="9"/>
        <v>0</v>
      </c>
      <c r="AB33" s="73">
        <f t="shared" si="28"/>
        <v>48</v>
      </c>
      <c r="AC33" s="96">
        <f t="shared" si="10"/>
        <v>0</v>
      </c>
      <c r="AD33" s="96">
        <f t="shared" si="29"/>
        <v>800000</v>
      </c>
      <c r="AE33" s="96">
        <f t="shared" si="11"/>
        <v>0</v>
      </c>
      <c r="AF33" s="73">
        <f t="shared" si="43"/>
        <v>0</v>
      </c>
      <c r="AG33" s="73">
        <f t="shared" si="30"/>
        <v>48</v>
      </c>
      <c r="AH33" s="96">
        <f t="shared" si="31"/>
        <v>0</v>
      </c>
      <c r="AI33" s="96">
        <f t="shared" si="12"/>
        <v>800000</v>
      </c>
      <c r="AJ33" s="96">
        <f t="shared" si="13"/>
        <v>0</v>
      </c>
      <c r="AK33" s="73">
        <f t="shared" si="32"/>
        <v>0</v>
      </c>
      <c r="AL33" s="73">
        <f t="shared" si="33"/>
        <v>48</v>
      </c>
      <c r="AM33" s="96">
        <f t="shared" si="34"/>
        <v>0</v>
      </c>
      <c r="AN33" s="96">
        <f t="shared" si="35"/>
        <v>800000</v>
      </c>
      <c r="AO33" s="96">
        <f t="shared" si="36"/>
        <v>0</v>
      </c>
      <c r="AP33" s="73">
        <f t="shared" si="37"/>
        <v>0</v>
      </c>
      <c r="AQ33" s="73">
        <f t="shared" si="38"/>
        <v>48</v>
      </c>
      <c r="AR33" s="96">
        <f t="shared" si="39"/>
        <v>0</v>
      </c>
      <c r="AS33" s="96">
        <f t="shared" si="40"/>
        <v>800000</v>
      </c>
      <c r="AT33" s="96">
        <f t="shared" si="41"/>
        <v>0</v>
      </c>
      <c r="AU33" s="60"/>
      <c r="AV33" s="202">
        <f t="shared" si="42"/>
        <v>0</v>
      </c>
      <c r="AW33" s="203">
        <f t="shared" si="14"/>
        <v>0</v>
      </c>
      <c r="AX33" s="203">
        <f t="shared" si="15"/>
        <v>0</v>
      </c>
      <c r="AY33" s="203">
        <f t="shared" si="16"/>
        <v>0</v>
      </c>
      <c r="AZ33" s="203">
        <f t="shared" si="17"/>
        <v>0</v>
      </c>
      <c r="BA33" s="203">
        <f t="shared" si="18"/>
        <v>0</v>
      </c>
      <c r="BB33" s="203">
        <f t="shared" si="19"/>
        <v>0</v>
      </c>
      <c r="BC33" s="203">
        <f t="shared" si="20"/>
        <v>0</v>
      </c>
      <c r="BD33" s="203">
        <f t="shared" si="21"/>
        <v>0</v>
      </c>
      <c r="BE33" s="203">
        <f t="shared" si="22"/>
        <v>0</v>
      </c>
      <c r="BF33" s="203">
        <f t="shared" si="23"/>
        <v>0</v>
      </c>
      <c r="BG33" s="203">
        <f t="shared" si="24"/>
        <v>0</v>
      </c>
      <c r="BH33" s="203">
        <f t="shared" si="25"/>
        <v>0</v>
      </c>
    </row>
    <row r="34" spans="2:60" x14ac:dyDescent="0.2">
      <c r="B34" s="68"/>
      <c r="C34" s="89">
        <v>40332</v>
      </c>
      <c r="D34" s="70"/>
      <c r="E34" s="71" t="s">
        <v>134</v>
      </c>
      <c r="F34" s="72"/>
      <c r="G34" s="90">
        <v>0.25</v>
      </c>
      <c r="H34" s="74">
        <v>1340000</v>
      </c>
      <c r="I34" s="74"/>
      <c r="J34" s="74"/>
      <c r="K34" s="74">
        <f t="shared" si="0"/>
        <v>1340000</v>
      </c>
      <c r="L34" s="74"/>
      <c r="M34" s="74"/>
      <c r="N34" s="74">
        <f t="shared" si="1"/>
        <v>1340000</v>
      </c>
      <c r="O34" s="91">
        <f t="shared" si="2"/>
        <v>4</v>
      </c>
      <c r="P34" s="72">
        <f t="shared" si="44"/>
        <v>48</v>
      </c>
      <c r="Q34" s="72">
        <f t="shared" si="3"/>
        <v>6</v>
      </c>
      <c r="R34" s="92">
        <f t="shared" si="4"/>
        <v>2010</v>
      </c>
      <c r="S34" s="93">
        <f t="shared" si="5"/>
        <v>5</v>
      </c>
      <c r="T34" s="94">
        <f t="shared" si="6"/>
        <v>2014</v>
      </c>
      <c r="U34" s="96">
        <f t="shared" si="45"/>
        <v>27916.666666666668</v>
      </c>
      <c r="V34" s="73">
        <v>0</v>
      </c>
      <c r="W34" s="73">
        <v>48</v>
      </c>
      <c r="X34" s="96">
        <f t="shared" si="7"/>
        <v>0</v>
      </c>
      <c r="Y34" s="96">
        <v>1340000</v>
      </c>
      <c r="Z34" s="96">
        <f t="shared" si="8"/>
        <v>0</v>
      </c>
      <c r="AA34" s="73">
        <f t="shared" si="9"/>
        <v>0</v>
      </c>
      <c r="AB34" s="73">
        <f t="shared" si="28"/>
        <v>48</v>
      </c>
      <c r="AC34" s="96">
        <f t="shared" si="10"/>
        <v>0</v>
      </c>
      <c r="AD34" s="96">
        <f t="shared" si="29"/>
        <v>1340000</v>
      </c>
      <c r="AE34" s="96">
        <f t="shared" si="11"/>
        <v>0</v>
      </c>
      <c r="AF34" s="73">
        <f t="shared" si="43"/>
        <v>0</v>
      </c>
      <c r="AG34" s="73">
        <f t="shared" si="30"/>
        <v>48</v>
      </c>
      <c r="AH34" s="96">
        <f t="shared" si="31"/>
        <v>0</v>
      </c>
      <c r="AI34" s="96">
        <f t="shared" si="12"/>
        <v>1340000</v>
      </c>
      <c r="AJ34" s="96">
        <f t="shared" si="13"/>
        <v>0</v>
      </c>
      <c r="AK34" s="73">
        <f t="shared" si="32"/>
        <v>0</v>
      </c>
      <c r="AL34" s="73">
        <f t="shared" si="33"/>
        <v>48</v>
      </c>
      <c r="AM34" s="96">
        <f t="shared" si="34"/>
        <v>0</v>
      </c>
      <c r="AN34" s="96">
        <f t="shared" si="35"/>
        <v>1340000</v>
      </c>
      <c r="AO34" s="96">
        <f t="shared" si="36"/>
        <v>0</v>
      </c>
      <c r="AP34" s="73">
        <f t="shared" si="37"/>
        <v>0</v>
      </c>
      <c r="AQ34" s="73">
        <f t="shared" si="38"/>
        <v>48</v>
      </c>
      <c r="AR34" s="96">
        <f t="shared" si="39"/>
        <v>0</v>
      </c>
      <c r="AS34" s="96">
        <f t="shared" si="40"/>
        <v>1340000</v>
      </c>
      <c r="AT34" s="96">
        <f t="shared" si="41"/>
        <v>0</v>
      </c>
      <c r="AU34" s="60"/>
      <c r="AV34" s="202">
        <f t="shared" si="42"/>
        <v>0</v>
      </c>
      <c r="AW34" s="203">
        <f t="shared" si="14"/>
        <v>0</v>
      </c>
      <c r="AX34" s="203">
        <f t="shared" si="15"/>
        <v>0</v>
      </c>
      <c r="AY34" s="203">
        <f t="shared" si="16"/>
        <v>0</v>
      </c>
      <c r="AZ34" s="203">
        <f t="shared" si="17"/>
        <v>0</v>
      </c>
      <c r="BA34" s="203">
        <f t="shared" si="18"/>
        <v>0</v>
      </c>
      <c r="BB34" s="203">
        <f t="shared" si="19"/>
        <v>0</v>
      </c>
      <c r="BC34" s="203">
        <f t="shared" si="20"/>
        <v>0</v>
      </c>
      <c r="BD34" s="203">
        <f t="shared" si="21"/>
        <v>0</v>
      </c>
      <c r="BE34" s="203">
        <f t="shared" si="22"/>
        <v>0</v>
      </c>
      <c r="BF34" s="203">
        <f t="shared" si="23"/>
        <v>0</v>
      </c>
      <c r="BG34" s="203">
        <f t="shared" si="24"/>
        <v>0</v>
      </c>
      <c r="BH34" s="203">
        <f t="shared" si="25"/>
        <v>0</v>
      </c>
    </row>
    <row r="35" spans="2:60" x14ac:dyDescent="0.2">
      <c r="B35" s="68"/>
      <c r="C35" s="89">
        <v>40612</v>
      </c>
      <c r="D35" s="70"/>
      <c r="E35" s="71" t="s">
        <v>135</v>
      </c>
      <c r="F35" s="72"/>
      <c r="G35" s="90">
        <v>0.25</v>
      </c>
      <c r="H35" s="74">
        <v>1150000</v>
      </c>
      <c r="I35" s="74"/>
      <c r="J35" s="74"/>
      <c r="K35" s="74">
        <f t="shared" si="0"/>
        <v>1150000</v>
      </c>
      <c r="L35" s="74"/>
      <c r="M35" s="74"/>
      <c r="N35" s="74">
        <f t="shared" si="1"/>
        <v>1150000</v>
      </c>
      <c r="O35" s="91">
        <f t="shared" si="2"/>
        <v>4</v>
      </c>
      <c r="P35" s="72">
        <f t="shared" si="44"/>
        <v>48</v>
      </c>
      <c r="Q35" s="72">
        <f t="shared" si="3"/>
        <v>3</v>
      </c>
      <c r="R35" s="92">
        <f t="shared" si="4"/>
        <v>2011</v>
      </c>
      <c r="S35" s="93">
        <f t="shared" si="5"/>
        <v>2</v>
      </c>
      <c r="T35" s="94">
        <f t="shared" si="6"/>
        <v>2015</v>
      </c>
      <c r="U35" s="96">
        <f t="shared" si="45"/>
        <v>23958.333333333332</v>
      </c>
      <c r="V35" s="73">
        <v>0</v>
      </c>
      <c r="W35" s="73">
        <v>48</v>
      </c>
      <c r="X35" s="96">
        <f t="shared" si="7"/>
        <v>0</v>
      </c>
      <c r="Y35" s="96">
        <v>1150000</v>
      </c>
      <c r="Z35" s="96">
        <f t="shared" si="8"/>
        <v>0</v>
      </c>
      <c r="AA35" s="73">
        <f t="shared" si="9"/>
        <v>0</v>
      </c>
      <c r="AB35" s="73">
        <f t="shared" si="28"/>
        <v>48</v>
      </c>
      <c r="AC35" s="96">
        <f t="shared" si="10"/>
        <v>0</v>
      </c>
      <c r="AD35" s="96">
        <f t="shared" si="29"/>
        <v>1150000</v>
      </c>
      <c r="AE35" s="96">
        <f t="shared" si="11"/>
        <v>0</v>
      </c>
      <c r="AF35" s="73">
        <f t="shared" si="43"/>
        <v>0</v>
      </c>
      <c r="AG35" s="73">
        <f t="shared" si="30"/>
        <v>48</v>
      </c>
      <c r="AH35" s="96">
        <f t="shared" si="31"/>
        <v>0</v>
      </c>
      <c r="AI35" s="96">
        <f t="shared" si="12"/>
        <v>1150000</v>
      </c>
      <c r="AJ35" s="96">
        <f t="shared" si="13"/>
        <v>0</v>
      </c>
      <c r="AK35" s="73">
        <f t="shared" si="32"/>
        <v>0</v>
      </c>
      <c r="AL35" s="73">
        <f t="shared" si="33"/>
        <v>48</v>
      </c>
      <c r="AM35" s="96">
        <f t="shared" si="34"/>
        <v>0</v>
      </c>
      <c r="AN35" s="96">
        <f t="shared" si="35"/>
        <v>1150000</v>
      </c>
      <c r="AO35" s="96">
        <f t="shared" si="36"/>
        <v>0</v>
      </c>
      <c r="AP35" s="73">
        <f t="shared" si="37"/>
        <v>0</v>
      </c>
      <c r="AQ35" s="73">
        <f t="shared" si="38"/>
        <v>48</v>
      </c>
      <c r="AR35" s="96">
        <f t="shared" si="39"/>
        <v>0</v>
      </c>
      <c r="AS35" s="96">
        <f t="shared" si="40"/>
        <v>1150000</v>
      </c>
      <c r="AT35" s="96">
        <f t="shared" si="41"/>
        <v>0</v>
      </c>
      <c r="AU35" s="60"/>
      <c r="AV35" s="202">
        <f t="shared" si="42"/>
        <v>0</v>
      </c>
      <c r="AW35" s="203">
        <f t="shared" si="14"/>
        <v>0</v>
      </c>
      <c r="AX35" s="203">
        <f t="shared" si="15"/>
        <v>0</v>
      </c>
      <c r="AY35" s="203">
        <f t="shared" si="16"/>
        <v>0</v>
      </c>
      <c r="AZ35" s="203">
        <f t="shared" si="17"/>
        <v>0</v>
      </c>
      <c r="BA35" s="203">
        <f t="shared" si="18"/>
        <v>0</v>
      </c>
      <c r="BB35" s="203">
        <f t="shared" si="19"/>
        <v>0</v>
      </c>
      <c r="BC35" s="203">
        <f t="shared" si="20"/>
        <v>0</v>
      </c>
      <c r="BD35" s="203">
        <f t="shared" si="21"/>
        <v>0</v>
      </c>
      <c r="BE35" s="203">
        <f t="shared" si="22"/>
        <v>0</v>
      </c>
      <c r="BF35" s="203">
        <f t="shared" si="23"/>
        <v>0</v>
      </c>
      <c r="BG35" s="203">
        <f t="shared" si="24"/>
        <v>0</v>
      </c>
      <c r="BH35" s="203">
        <f t="shared" si="25"/>
        <v>0</v>
      </c>
    </row>
    <row r="36" spans="2:60" x14ac:dyDescent="0.2">
      <c r="B36" s="68"/>
      <c r="C36" s="89">
        <v>40612</v>
      </c>
      <c r="D36" s="70"/>
      <c r="E36" s="71" t="s">
        <v>136</v>
      </c>
      <c r="F36" s="72"/>
      <c r="G36" s="90">
        <v>0.25</v>
      </c>
      <c r="H36" s="74">
        <v>1100000</v>
      </c>
      <c r="I36" s="74"/>
      <c r="J36" s="74"/>
      <c r="K36" s="74">
        <f t="shared" si="0"/>
        <v>1100000</v>
      </c>
      <c r="L36" s="74"/>
      <c r="M36" s="74"/>
      <c r="N36" s="74">
        <f t="shared" si="1"/>
        <v>1100000</v>
      </c>
      <c r="O36" s="91">
        <f t="shared" si="2"/>
        <v>4</v>
      </c>
      <c r="P36" s="72">
        <f t="shared" si="44"/>
        <v>48</v>
      </c>
      <c r="Q36" s="72">
        <f t="shared" si="3"/>
        <v>3</v>
      </c>
      <c r="R36" s="92">
        <f t="shared" si="4"/>
        <v>2011</v>
      </c>
      <c r="S36" s="93">
        <f t="shared" si="5"/>
        <v>2</v>
      </c>
      <c r="T36" s="94">
        <f t="shared" si="6"/>
        <v>2015</v>
      </c>
      <c r="U36" s="96">
        <f t="shared" si="45"/>
        <v>22916.666666666668</v>
      </c>
      <c r="V36" s="73">
        <v>0</v>
      </c>
      <c r="W36" s="73">
        <v>48</v>
      </c>
      <c r="X36" s="96">
        <f t="shared" si="7"/>
        <v>0</v>
      </c>
      <c r="Y36" s="96">
        <v>1100000</v>
      </c>
      <c r="Z36" s="96">
        <f t="shared" si="8"/>
        <v>0</v>
      </c>
      <c r="AA36" s="73">
        <f t="shared" si="9"/>
        <v>0</v>
      </c>
      <c r="AB36" s="73">
        <f t="shared" si="28"/>
        <v>48</v>
      </c>
      <c r="AC36" s="96">
        <f t="shared" si="10"/>
        <v>0</v>
      </c>
      <c r="AD36" s="96">
        <f t="shared" si="29"/>
        <v>1100000</v>
      </c>
      <c r="AE36" s="96">
        <f t="shared" si="11"/>
        <v>0</v>
      </c>
      <c r="AF36" s="73">
        <f t="shared" si="43"/>
        <v>0</v>
      </c>
      <c r="AG36" s="73">
        <f t="shared" si="30"/>
        <v>48</v>
      </c>
      <c r="AH36" s="96">
        <f t="shared" si="31"/>
        <v>0</v>
      </c>
      <c r="AI36" s="96">
        <f t="shared" si="12"/>
        <v>1100000</v>
      </c>
      <c r="AJ36" s="96">
        <f t="shared" si="13"/>
        <v>0</v>
      </c>
      <c r="AK36" s="73">
        <f t="shared" si="32"/>
        <v>0</v>
      </c>
      <c r="AL36" s="73">
        <f t="shared" si="33"/>
        <v>48</v>
      </c>
      <c r="AM36" s="96">
        <f t="shared" si="34"/>
        <v>0</v>
      </c>
      <c r="AN36" s="96">
        <f t="shared" si="35"/>
        <v>1100000</v>
      </c>
      <c r="AO36" s="96">
        <f t="shared" si="36"/>
        <v>0</v>
      </c>
      <c r="AP36" s="73">
        <f t="shared" si="37"/>
        <v>0</v>
      </c>
      <c r="AQ36" s="73">
        <f t="shared" si="38"/>
        <v>48</v>
      </c>
      <c r="AR36" s="96">
        <f t="shared" si="39"/>
        <v>0</v>
      </c>
      <c r="AS36" s="96">
        <f t="shared" si="40"/>
        <v>1100000</v>
      </c>
      <c r="AT36" s="96">
        <f t="shared" si="41"/>
        <v>0</v>
      </c>
      <c r="AU36" s="60"/>
      <c r="AV36" s="202">
        <f t="shared" si="42"/>
        <v>0</v>
      </c>
      <c r="AW36" s="203">
        <f t="shared" si="14"/>
        <v>0</v>
      </c>
      <c r="AX36" s="203">
        <f t="shared" si="15"/>
        <v>0</v>
      </c>
      <c r="AY36" s="203">
        <f t="shared" si="16"/>
        <v>0</v>
      </c>
      <c r="AZ36" s="203">
        <f t="shared" si="17"/>
        <v>0</v>
      </c>
      <c r="BA36" s="203">
        <f t="shared" si="18"/>
        <v>0</v>
      </c>
      <c r="BB36" s="203">
        <f t="shared" si="19"/>
        <v>0</v>
      </c>
      <c r="BC36" s="203">
        <f t="shared" si="20"/>
        <v>0</v>
      </c>
      <c r="BD36" s="203">
        <f t="shared" si="21"/>
        <v>0</v>
      </c>
      <c r="BE36" s="203">
        <f t="shared" si="22"/>
        <v>0</v>
      </c>
      <c r="BF36" s="203">
        <f t="shared" si="23"/>
        <v>0</v>
      </c>
      <c r="BG36" s="203">
        <f t="shared" si="24"/>
        <v>0</v>
      </c>
      <c r="BH36" s="203">
        <f t="shared" si="25"/>
        <v>0</v>
      </c>
    </row>
    <row r="37" spans="2:60" x14ac:dyDescent="0.2">
      <c r="B37" s="68"/>
      <c r="C37" s="89">
        <v>40847</v>
      </c>
      <c r="D37" s="70"/>
      <c r="E37" s="71" t="s">
        <v>137</v>
      </c>
      <c r="F37" s="72"/>
      <c r="G37" s="90">
        <v>0.25</v>
      </c>
      <c r="H37" s="74">
        <v>4200000</v>
      </c>
      <c r="I37" s="74"/>
      <c r="J37" s="74"/>
      <c r="K37" s="74">
        <f t="shared" si="0"/>
        <v>4200000</v>
      </c>
      <c r="L37" s="74"/>
      <c r="M37" s="74"/>
      <c r="N37" s="74">
        <f t="shared" si="1"/>
        <v>4200000</v>
      </c>
      <c r="O37" s="91">
        <f t="shared" si="2"/>
        <v>4</v>
      </c>
      <c r="P37" s="72">
        <f t="shared" si="44"/>
        <v>48</v>
      </c>
      <c r="Q37" s="72">
        <f t="shared" si="3"/>
        <v>10</v>
      </c>
      <c r="R37" s="92">
        <f t="shared" si="4"/>
        <v>2011</v>
      </c>
      <c r="S37" s="93">
        <f t="shared" si="5"/>
        <v>9</v>
      </c>
      <c r="T37" s="94">
        <f t="shared" si="6"/>
        <v>2015</v>
      </c>
      <c r="U37" s="96">
        <f t="shared" si="45"/>
        <v>87500</v>
      </c>
      <c r="V37" s="73">
        <v>0</v>
      </c>
      <c r="W37" s="73">
        <v>48</v>
      </c>
      <c r="X37" s="96">
        <f t="shared" si="7"/>
        <v>0</v>
      </c>
      <c r="Y37" s="96">
        <v>4200000</v>
      </c>
      <c r="Z37" s="96">
        <f t="shared" si="8"/>
        <v>0</v>
      </c>
      <c r="AA37" s="73">
        <f t="shared" si="9"/>
        <v>0</v>
      </c>
      <c r="AB37" s="73">
        <f t="shared" si="28"/>
        <v>48</v>
      </c>
      <c r="AC37" s="96">
        <f t="shared" si="10"/>
        <v>0</v>
      </c>
      <c r="AD37" s="96">
        <f t="shared" si="29"/>
        <v>4200000</v>
      </c>
      <c r="AE37" s="96">
        <f t="shared" si="11"/>
        <v>0</v>
      </c>
      <c r="AF37" s="73">
        <f t="shared" si="43"/>
        <v>0</v>
      </c>
      <c r="AG37" s="73">
        <f t="shared" si="30"/>
        <v>48</v>
      </c>
      <c r="AH37" s="96">
        <f t="shared" si="31"/>
        <v>0</v>
      </c>
      <c r="AI37" s="96">
        <f t="shared" si="12"/>
        <v>4200000</v>
      </c>
      <c r="AJ37" s="96">
        <f t="shared" si="13"/>
        <v>0</v>
      </c>
      <c r="AK37" s="73">
        <f t="shared" si="32"/>
        <v>0</v>
      </c>
      <c r="AL37" s="73">
        <f t="shared" si="33"/>
        <v>48</v>
      </c>
      <c r="AM37" s="96">
        <f t="shared" si="34"/>
        <v>0</v>
      </c>
      <c r="AN37" s="96">
        <f t="shared" si="35"/>
        <v>4200000</v>
      </c>
      <c r="AO37" s="96">
        <f t="shared" si="36"/>
        <v>0</v>
      </c>
      <c r="AP37" s="73">
        <f t="shared" si="37"/>
        <v>0</v>
      </c>
      <c r="AQ37" s="73">
        <f t="shared" si="38"/>
        <v>48</v>
      </c>
      <c r="AR37" s="96">
        <f t="shared" si="39"/>
        <v>0</v>
      </c>
      <c r="AS37" s="96">
        <f t="shared" si="40"/>
        <v>4200000</v>
      </c>
      <c r="AT37" s="96">
        <f t="shared" si="41"/>
        <v>0</v>
      </c>
      <c r="AU37" s="60"/>
      <c r="AV37" s="202">
        <f t="shared" si="42"/>
        <v>0</v>
      </c>
      <c r="AW37" s="203">
        <f t="shared" si="14"/>
        <v>0</v>
      </c>
      <c r="AX37" s="203">
        <f t="shared" si="15"/>
        <v>0</v>
      </c>
      <c r="AY37" s="203">
        <f t="shared" si="16"/>
        <v>0</v>
      </c>
      <c r="AZ37" s="203">
        <f t="shared" si="17"/>
        <v>0</v>
      </c>
      <c r="BA37" s="203">
        <f t="shared" si="18"/>
        <v>0</v>
      </c>
      <c r="BB37" s="203">
        <f t="shared" si="19"/>
        <v>0</v>
      </c>
      <c r="BC37" s="203">
        <f t="shared" si="20"/>
        <v>0</v>
      </c>
      <c r="BD37" s="203">
        <f t="shared" si="21"/>
        <v>0</v>
      </c>
      <c r="BE37" s="203">
        <f t="shared" si="22"/>
        <v>0</v>
      </c>
      <c r="BF37" s="203">
        <f t="shared" si="23"/>
        <v>0</v>
      </c>
      <c r="BG37" s="203">
        <f t="shared" si="24"/>
        <v>0</v>
      </c>
      <c r="BH37" s="203">
        <f t="shared" si="25"/>
        <v>0</v>
      </c>
    </row>
    <row r="38" spans="2:60" x14ac:dyDescent="0.2">
      <c r="B38" s="68"/>
      <c r="C38" s="89">
        <v>40851</v>
      </c>
      <c r="D38" s="70"/>
      <c r="E38" s="71" t="s">
        <v>138</v>
      </c>
      <c r="F38" s="72"/>
      <c r="G38" s="90">
        <v>0.25</v>
      </c>
      <c r="H38" s="74">
        <v>5820000</v>
      </c>
      <c r="I38" s="74"/>
      <c r="J38" s="74"/>
      <c r="K38" s="74">
        <f t="shared" si="0"/>
        <v>5820000</v>
      </c>
      <c r="L38" s="74"/>
      <c r="M38" s="74"/>
      <c r="N38" s="74">
        <f t="shared" si="1"/>
        <v>5820000</v>
      </c>
      <c r="O38" s="91">
        <f t="shared" si="2"/>
        <v>4</v>
      </c>
      <c r="P38" s="72">
        <f t="shared" si="44"/>
        <v>48</v>
      </c>
      <c r="Q38" s="72">
        <f t="shared" si="3"/>
        <v>11</v>
      </c>
      <c r="R38" s="92">
        <f t="shared" si="4"/>
        <v>2011</v>
      </c>
      <c r="S38" s="93">
        <f t="shared" si="5"/>
        <v>10</v>
      </c>
      <c r="T38" s="94">
        <f t="shared" si="6"/>
        <v>2015</v>
      </c>
      <c r="U38" s="96">
        <f t="shared" si="45"/>
        <v>121250</v>
      </c>
      <c r="V38" s="73">
        <v>0</v>
      </c>
      <c r="W38" s="73">
        <v>48</v>
      </c>
      <c r="X38" s="96">
        <f t="shared" si="7"/>
        <v>0</v>
      </c>
      <c r="Y38" s="96">
        <v>5820000</v>
      </c>
      <c r="Z38" s="96">
        <f t="shared" si="8"/>
        <v>0</v>
      </c>
      <c r="AA38" s="73">
        <f t="shared" si="9"/>
        <v>0</v>
      </c>
      <c r="AB38" s="73">
        <f t="shared" si="28"/>
        <v>48</v>
      </c>
      <c r="AC38" s="96">
        <f t="shared" si="10"/>
        <v>0</v>
      </c>
      <c r="AD38" s="96">
        <f t="shared" si="29"/>
        <v>5820000</v>
      </c>
      <c r="AE38" s="96">
        <f t="shared" si="11"/>
        <v>0</v>
      </c>
      <c r="AF38" s="73">
        <f t="shared" si="43"/>
        <v>0</v>
      </c>
      <c r="AG38" s="73">
        <f t="shared" si="30"/>
        <v>48</v>
      </c>
      <c r="AH38" s="96">
        <f t="shared" si="31"/>
        <v>0</v>
      </c>
      <c r="AI38" s="96">
        <f t="shared" si="12"/>
        <v>5820000</v>
      </c>
      <c r="AJ38" s="96">
        <f t="shared" si="13"/>
        <v>0</v>
      </c>
      <c r="AK38" s="73">
        <f t="shared" si="32"/>
        <v>0</v>
      </c>
      <c r="AL38" s="73">
        <f t="shared" si="33"/>
        <v>48</v>
      </c>
      <c r="AM38" s="96">
        <f t="shared" si="34"/>
        <v>0</v>
      </c>
      <c r="AN38" s="96">
        <f t="shared" si="35"/>
        <v>5820000</v>
      </c>
      <c r="AO38" s="96">
        <f t="shared" si="36"/>
        <v>0</v>
      </c>
      <c r="AP38" s="73">
        <f t="shared" si="37"/>
        <v>0</v>
      </c>
      <c r="AQ38" s="73">
        <f t="shared" si="38"/>
        <v>48</v>
      </c>
      <c r="AR38" s="96">
        <f t="shared" si="39"/>
        <v>0</v>
      </c>
      <c r="AS38" s="96">
        <f t="shared" si="40"/>
        <v>5820000</v>
      </c>
      <c r="AT38" s="96">
        <f t="shared" si="41"/>
        <v>0</v>
      </c>
      <c r="AU38" s="60"/>
      <c r="AV38" s="202">
        <f t="shared" si="42"/>
        <v>0</v>
      </c>
      <c r="AW38" s="203">
        <f t="shared" si="14"/>
        <v>0</v>
      </c>
      <c r="AX38" s="203">
        <f t="shared" si="15"/>
        <v>0</v>
      </c>
      <c r="AY38" s="203">
        <f t="shared" si="16"/>
        <v>0</v>
      </c>
      <c r="AZ38" s="203">
        <f t="shared" si="17"/>
        <v>0</v>
      </c>
      <c r="BA38" s="203">
        <f t="shared" si="18"/>
        <v>0</v>
      </c>
      <c r="BB38" s="203">
        <f t="shared" si="19"/>
        <v>0</v>
      </c>
      <c r="BC38" s="203">
        <f t="shared" si="20"/>
        <v>0</v>
      </c>
      <c r="BD38" s="203">
        <f t="shared" si="21"/>
        <v>0</v>
      </c>
      <c r="BE38" s="203">
        <f t="shared" si="22"/>
        <v>0</v>
      </c>
      <c r="BF38" s="203">
        <f t="shared" si="23"/>
        <v>0</v>
      </c>
      <c r="BG38" s="203">
        <f t="shared" si="24"/>
        <v>0</v>
      </c>
      <c r="BH38" s="203">
        <f t="shared" si="25"/>
        <v>0</v>
      </c>
    </row>
    <row r="39" spans="2:60" x14ac:dyDescent="0.2">
      <c r="B39" s="68"/>
      <c r="C39" s="89">
        <v>40858</v>
      </c>
      <c r="D39" s="70"/>
      <c r="E39" s="71" t="s">
        <v>139</v>
      </c>
      <c r="F39" s="72"/>
      <c r="G39" s="90">
        <v>0.25</v>
      </c>
      <c r="H39" s="74">
        <v>500000</v>
      </c>
      <c r="I39" s="74"/>
      <c r="J39" s="74"/>
      <c r="K39" s="74">
        <f t="shared" si="0"/>
        <v>500000</v>
      </c>
      <c r="L39" s="74"/>
      <c r="M39" s="74"/>
      <c r="N39" s="74">
        <f t="shared" si="1"/>
        <v>500000</v>
      </c>
      <c r="O39" s="91">
        <f t="shared" si="2"/>
        <v>4</v>
      </c>
      <c r="P39" s="72">
        <f t="shared" si="44"/>
        <v>48</v>
      </c>
      <c r="Q39" s="72">
        <f t="shared" si="3"/>
        <v>11</v>
      </c>
      <c r="R39" s="92">
        <f t="shared" si="4"/>
        <v>2011</v>
      </c>
      <c r="S39" s="93">
        <f t="shared" si="5"/>
        <v>10</v>
      </c>
      <c r="T39" s="94">
        <f t="shared" si="6"/>
        <v>2015</v>
      </c>
      <c r="U39" s="96">
        <f t="shared" si="45"/>
        <v>10416.666666666666</v>
      </c>
      <c r="V39" s="73">
        <v>0</v>
      </c>
      <c r="W39" s="73">
        <v>48</v>
      </c>
      <c r="X39" s="96">
        <f t="shared" si="7"/>
        <v>0</v>
      </c>
      <c r="Y39" s="96">
        <v>500000</v>
      </c>
      <c r="Z39" s="96">
        <f t="shared" si="8"/>
        <v>0</v>
      </c>
      <c r="AA39" s="73">
        <f t="shared" si="9"/>
        <v>0</v>
      </c>
      <c r="AB39" s="73">
        <f t="shared" si="28"/>
        <v>48</v>
      </c>
      <c r="AC39" s="96">
        <f t="shared" si="10"/>
        <v>0</v>
      </c>
      <c r="AD39" s="96">
        <f t="shared" si="29"/>
        <v>500000</v>
      </c>
      <c r="AE39" s="96">
        <f t="shared" si="11"/>
        <v>0</v>
      </c>
      <c r="AF39" s="73">
        <f t="shared" si="43"/>
        <v>0</v>
      </c>
      <c r="AG39" s="73">
        <f t="shared" si="30"/>
        <v>48</v>
      </c>
      <c r="AH39" s="96">
        <f t="shared" si="31"/>
        <v>0</v>
      </c>
      <c r="AI39" s="96">
        <f t="shared" si="12"/>
        <v>500000</v>
      </c>
      <c r="AJ39" s="96">
        <f t="shared" si="13"/>
        <v>0</v>
      </c>
      <c r="AK39" s="73">
        <f t="shared" si="32"/>
        <v>0</v>
      </c>
      <c r="AL39" s="73">
        <f t="shared" si="33"/>
        <v>48</v>
      </c>
      <c r="AM39" s="96">
        <f t="shared" si="34"/>
        <v>0</v>
      </c>
      <c r="AN39" s="96">
        <f t="shared" si="35"/>
        <v>500000</v>
      </c>
      <c r="AO39" s="96">
        <f t="shared" si="36"/>
        <v>0</v>
      </c>
      <c r="AP39" s="73">
        <f t="shared" si="37"/>
        <v>0</v>
      </c>
      <c r="AQ39" s="73">
        <f t="shared" si="38"/>
        <v>48</v>
      </c>
      <c r="AR39" s="96">
        <f t="shared" si="39"/>
        <v>0</v>
      </c>
      <c r="AS39" s="96">
        <f t="shared" si="40"/>
        <v>500000</v>
      </c>
      <c r="AT39" s="96">
        <f t="shared" si="41"/>
        <v>0</v>
      </c>
      <c r="AU39" s="60"/>
      <c r="AV39" s="202">
        <f t="shared" si="42"/>
        <v>0</v>
      </c>
      <c r="AW39" s="203">
        <f t="shared" si="14"/>
        <v>0</v>
      </c>
      <c r="AX39" s="203">
        <f t="shared" si="15"/>
        <v>0</v>
      </c>
      <c r="AY39" s="203">
        <f t="shared" si="16"/>
        <v>0</v>
      </c>
      <c r="AZ39" s="203">
        <f t="shared" si="17"/>
        <v>0</v>
      </c>
      <c r="BA39" s="203">
        <f t="shared" si="18"/>
        <v>0</v>
      </c>
      <c r="BB39" s="203">
        <f t="shared" si="19"/>
        <v>0</v>
      </c>
      <c r="BC39" s="203">
        <f t="shared" si="20"/>
        <v>0</v>
      </c>
      <c r="BD39" s="203">
        <f t="shared" si="21"/>
        <v>0</v>
      </c>
      <c r="BE39" s="203">
        <f t="shared" si="22"/>
        <v>0</v>
      </c>
      <c r="BF39" s="203">
        <f t="shared" si="23"/>
        <v>0</v>
      </c>
      <c r="BG39" s="203">
        <f t="shared" si="24"/>
        <v>0</v>
      </c>
      <c r="BH39" s="203">
        <f t="shared" si="25"/>
        <v>0</v>
      </c>
    </row>
    <row r="40" spans="2:60" x14ac:dyDescent="0.2">
      <c r="B40" s="68"/>
      <c r="C40" s="89">
        <v>40891</v>
      </c>
      <c r="D40" s="70"/>
      <c r="E40" s="71" t="s">
        <v>140</v>
      </c>
      <c r="F40" s="72"/>
      <c r="G40" s="90">
        <v>0.25</v>
      </c>
      <c r="H40" s="74">
        <v>850000</v>
      </c>
      <c r="I40" s="74"/>
      <c r="J40" s="74"/>
      <c r="K40" s="74">
        <f t="shared" si="0"/>
        <v>850000</v>
      </c>
      <c r="L40" s="74"/>
      <c r="M40" s="74"/>
      <c r="N40" s="74">
        <f t="shared" si="1"/>
        <v>850000</v>
      </c>
      <c r="O40" s="91">
        <f t="shared" si="2"/>
        <v>4</v>
      </c>
      <c r="P40" s="72">
        <f t="shared" si="44"/>
        <v>48</v>
      </c>
      <c r="Q40" s="72">
        <f t="shared" si="3"/>
        <v>12</v>
      </c>
      <c r="R40" s="92">
        <f t="shared" si="4"/>
        <v>2011</v>
      </c>
      <c r="S40" s="93">
        <f t="shared" si="5"/>
        <v>11</v>
      </c>
      <c r="T40" s="94">
        <f t="shared" si="6"/>
        <v>2015</v>
      </c>
      <c r="U40" s="96">
        <f t="shared" si="45"/>
        <v>17708.333333333332</v>
      </c>
      <c r="V40" s="73">
        <v>0</v>
      </c>
      <c r="W40" s="73">
        <v>48</v>
      </c>
      <c r="X40" s="96">
        <f t="shared" si="7"/>
        <v>0</v>
      </c>
      <c r="Y40" s="96">
        <v>850000</v>
      </c>
      <c r="Z40" s="96">
        <f t="shared" si="8"/>
        <v>0</v>
      </c>
      <c r="AA40" s="73">
        <f t="shared" si="9"/>
        <v>0</v>
      </c>
      <c r="AB40" s="73">
        <f t="shared" si="28"/>
        <v>48</v>
      </c>
      <c r="AC40" s="96">
        <f t="shared" si="10"/>
        <v>0</v>
      </c>
      <c r="AD40" s="96">
        <f t="shared" si="29"/>
        <v>850000</v>
      </c>
      <c r="AE40" s="96">
        <f t="shared" si="11"/>
        <v>0</v>
      </c>
      <c r="AF40" s="73">
        <f t="shared" si="43"/>
        <v>0</v>
      </c>
      <c r="AG40" s="73">
        <f t="shared" si="30"/>
        <v>48</v>
      </c>
      <c r="AH40" s="96">
        <f t="shared" si="31"/>
        <v>0</v>
      </c>
      <c r="AI40" s="96">
        <f t="shared" si="12"/>
        <v>850000</v>
      </c>
      <c r="AJ40" s="96">
        <f t="shared" si="13"/>
        <v>0</v>
      </c>
      <c r="AK40" s="73">
        <f t="shared" si="32"/>
        <v>0</v>
      </c>
      <c r="AL40" s="73">
        <f t="shared" si="33"/>
        <v>48</v>
      </c>
      <c r="AM40" s="96">
        <f t="shared" si="34"/>
        <v>0</v>
      </c>
      <c r="AN40" s="96">
        <f t="shared" si="35"/>
        <v>850000</v>
      </c>
      <c r="AO40" s="96">
        <f t="shared" si="36"/>
        <v>0</v>
      </c>
      <c r="AP40" s="73">
        <f t="shared" si="37"/>
        <v>0</v>
      </c>
      <c r="AQ40" s="73">
        <f t="shared" si="38"/>
        <v>48</v>
      </c>
      <c r="AR40" s="96">
        <f t="shared" si="39"/>
        <v>0</v>
      </c>
      <c r="AS40" s="96">
        <f t="shared" si="40"/>
        <v>850000</v>
      </c>
      <c r="AT40" s="96">
        <f t="shared" si="41"/>
        <v>0</v>
      </c>
      <c r="AU40" s="60"/>
      <c r="AV40" s="202">
        <f t="shared" si="42"/>
        <v>0</v>
      </c>
      <c r="AW40" s="203">
        <f t="shared" si="14"/>
        <v>0</v>
      </c>
      <c r="AX40" s="203">
        <f t="shared" si="15"/>
        <v>0</v>
      </c>
      <c r="AY40" s="203">
        <f t="shared" si="16"/>
        <v>0</v>
      </c>
      <c r="AZ40" s="203">
        <f t="shared" si="17"/>
        <v>0</v>
      </c>
      <c r="BA40" s="203">
        <f t="shared" si="18"/>
        <v>0</v>
      </c>
      <c r="BB40" s="203">
        <f t="shared" si="19"/>
        <v>0</v>
      </c>
      <c r="BC40" s="203">
        <f t="shared" si="20"/>
        <v>0</v>
      </c>
      <c r="BD40" s="203">
        <f t="shared" si="21"/>
        <v>0</v>
      </c>
      <c r="BE40" s="203">
        <f t="shared" si="22"/>
        <v>0</v>
      </c>
      <c r="BF40" s="203">
        <f t="shared" si="23"/>
        <v>0</v>
      </c>
      <c r="BG40" s="203">
        <f t="shared" si="24"/>
        <v>0</v>
      </c>
      <c r="BH40" s="203">
        <f t="shared" si="25"/>
        <v>0</v>
      </c>
    </row>
    <row r="41" spans="2:60" x14ac:dyDescent="0.2">
      <c r="B41" s="68"/>
      <c r="C41" s="89">
        <v>40547</v>
      </c>
      <c r="D41" s="70"/>
      <c r="E41" s="71" t="s">
        <v>141</v>
      </c>
      <c r="F41" s="72"/>
      <c r="G41" s="90">
        <v>0.25</v>
      </c>
      <c r="H41" s="74">
        <v>497000</v>
      </c>
      <c r="I41" s="74"/>
      <c r="J41" s="74"/>
      <c r="K41" s="74">
        <f t="shared" si="0"/>
        <v>497000</v>
      </c>
      <c r="L41" s="74"/>
      <c r="M41" s="74"/>
      <c r="N41" s="74">
        <f t="shared" si="1"/>
        <v>497000</v>
      </c>
      <c r="O41" s="91">
        <f t="shared" si="2"/>
        <v>4</v>
      </c>
      <c r="P41" s="72">
        <f t="shared" si="44"/>
        <v>48</v>
      </c>
      <c r="Q41" s="72">
        <f t="shared" si="3"/>
        <v>1</v>
      </c>
      <c r="R41" s="92">
        <f t="shared" si="4"/>
        <v>2011</v>
      </c>
      <c r="S41" s="93">
        <f t="shared" si="5"/>
        <v>12</v>
      </c>
      <c r="T41" s="94">
        <f t="shared" si="6"/>
        <v>2014</v>
      </c>
      <c r="U41" s="96">
        <f t="shared" si="45"/>
        <v>10354.166666666666</v>
      </c>
      <c r="V41" s="73">
        <v>0</v>
      </c>
      <c r="W41" s="73">
        <v>48</v>
      </c>
      <c r="X41" s="96">
        <f t="shared" si="7"/>
        <v>0</v>
      </c>
      <c r="Y41" s="96">
        <v>497000</v>
      </c>
      <c r="Z41" s="96">
        <f t="shared" si="8"/>
        <v>0</v>
      </c>
      <c r="AA41" s="73">
        <f t="shared" si="9"/>
        <v>0</v>
      </c>
      <c r="AB41" s="73">
        <f t="shared" si="28"/>
        <v>48</v>
      </c>
      <c r="AC41" s="96">
        <f t="shared" si="10"/>
        <v>0</v>
      </c>
      <c r="AD41" s="96">
        <f t="shared" si="29"/>
        <v>497000</v>
      </c>
      <c r="AE41" s="96">
        <f t="shared" si="11"/>
        <v>0</v>
      </c>
      <c r="AF41" s="73">
        <f t="shared" si="43"/>
        <v>0</v>
      </c>
      <c r="AG41" s="73">
        <f t="shared" si="30"/>
        <v>48</v>
      </c>
      <c r="AH41" s="96">
        <f t="shared" si="31"/>
        <v>0</v>
      </c>
      <c r="AI41" s="96">
        <f t="shared" si="12"/>
        <v>497000</v>
      </c>
      <c r="AJ41" s="96">
        <f t="shared" si="13"/>
        <v>0</v>
      </c>
      <c r="AK41" s="73">
        <f t="shared" si="32"/>
        <v>0</v>
      </c>
      <c r="AL41" s="73">
        <f t="shared" si="33"/>
        <v>48</v>
      </c>
      <c r="AM41" s="96">
        <f t="shared" si="34"/>
        <v>0</v>
      </c>
      <c r="AN41" s="96">
        <f t="shared" si="35"/>
        <v>497000</v>
      </c>
      <c r="AO41" s="96">
        <f t="shared" si="36"/>
        <v>0</v>
      </c>
      <c r="AP41" s="73">
        <f t="shared" si="37"/>
        <v>0</v>
      </c>
      <c r="AQ41" s="73">
        <f t="shared" si="38"/>
        <v>48</v>
      </c>
      <c r="AR41" s="96">
        <f t="shared" si="39"/>
        <v>0</v>
      </c>
      <c r="AS41" s="96">
        <f t="shared" si="40"/>
        <v>497000</v>
      </c>
      <c r="AT41" s="96">
        <f t="shared" si="41"/>
        <v>0</v>
      </c>
      <c r="AU41" s="60"/>
      <c r="AV41" s="202">
        <f t="shared" si="42"/>
        <v>0</v>
      </c>
      <c r="AW41" s="203">
        <f t="shared" si="14"/>
        <v>0</v>
      </c>
      <c r="AX41" s="203">
        <f t="shared" si="15"/>
        <v>0</v>
      </c>
      <c r="AY41" s="203">
        <f t="shared" si="16"/>
        <v>0</v>
      </c>
      <c r="AZ41" s="203">
        <f t="shared" si="17"/>
        <v>0</v>
      </c>
      <c r="BA41" s="203">
        <f t="shared" si="18"/>
        <v>0</v>
      </c>
      <c r="BB41" s="203">
        <f t="shared" si="19"/>
        <v>0</v>
      </c>
      <c r="BC41" s="203">
        <f t="shared" si="20"/>
        <v>0</v>
      </c>
      <c r="BD41" s="203">
        <f t="shared" si="21"/>
        <v>0</v>
      </c>
      <c r="BE41" s="203">
        <f t="shared" si="22"/>
        <v>0</v>
      </c>
      <c r="BF41" s="203">
        <f t="shared" si="23"/>
        <v>0</v>
      </c>
      <c r="BG41" s="203">
        <f t="shared" si="24"/>
        <v>0</v>
      </c>
      <c r="BH41" s="203">
        <f t="shared" si="25"/>
        <v>0</v>
      </c>
    </row>
    <row r="42" spans="2:60" x14ac:dyDescent="0.2">
      <c r="B42" s="68"/>
      <c r="C42" s="89">
        <v>40569</v>
      </c>
      <c r="D42" s="70"/>
      <c r="E42" s="71" t="s">
        <v>142</v>
      </c>
      <c r="F42" s="72"/>
      <c r="G42" s="90">
        <v>0.25</v>
      </c>
      <c r="H42" s="74">
        <v>1575000</v>
      </c>
      <c r="I42" s="74"/>
      <c r="J42" s="74"/>
      <c r="K42" s="74">
        <f t="shared" si="0"/>
        <v>1575000</v>
      </c>
      <c r="L42" s="74"/>
      <c r="M42" s="74"/>
      <c r="N42" s="74">
        <f t="shared" si="1"/>
        <v>1575000</v>
      </c>
      <c r="O42" s="91">
        <f t="shared" si="2"/>
        <v>4</v>
      </c>
      <c r="P42" s="72">
        <f t="shared" si="44"/>
        <v>48</v>
      </c>
      <c r="Q42" s="72">
        <f t="shared" si="3"/>
        <v>1</v>
      </c>
      <c r="R42" s="92">
        <f t="shared" si="4"/>
        <v>2011</v>
      </c>
      <c r="S42" s="93">
        <f t="shared" si="5"/>
        <v>12</v>
      </c>
      <c r="T42" s="94">
        <f t="shared" si="6"/>
        <v>2014</v>
      </c>
      <c r="U42" s="96">
        <f t="shared" si="45"/>
        <v>32812.5</v>
      </c>
      <c r="V42" s="73">
        <v>0</v>
      </c>
      <c r="W42" s="73">
        <v>48</v>
      </c>
      <c r="X42" s="96">
        <f t="shared" si="7"/>
        <v>0</v>
      </c>
      <c r="Y42" s="96">
        <v>1575000</v>
      </c>
      <c r="Z42" s="96">
        <f t="shared" si="8"/>
        <v>0</v>
      </c>
      <c r="AA42" s="73">
        <f t="shared" si="9"/>
        <v>0</v>
      </c>
      <c r="AB42" s="73">
        <f t="shared" si="28"/>
        <v>48</v>
      </c>
      <c r="AC42" s="96">
        <f t="shared" si="10"/>
        <v>0</v>
      </c>
      <c r="AD42" s="96">
        <f t="shared" si="29"/>
        <v>1575000</v>
      </c>
      <c r="AE42" s="96">
        <f t="shared" si="11"/>
        <v>0</v>
      </c>
      <c r="AF42" s="73">
        <f t="shared" si="43"/>
        <v>0</v>
      </c>
      <c r="AG42" s="73">
        <f t="shared" si="30"/>
        <v>48</v>
      </c>
      <c r="AH42" s="96">
        <f t="shared" si="31"/>
        <v>0</v>
      </c>
      <c r="AI42" s="96">
        <f t="shared" si="12"/>
        <v>1575000</v>
      </c>
      <c r="AJ42" s="96">
        <f t="shared" si="13"/>
        <v>0</v>
      </c>
      <c r="AK42" s="73">
        <f t="shared" si="32"/>
        <v>0</v>
      </c>
      <c r="AL42" s="73">
        <f t="shared" si="33"/>
        <v>48</v>
      </c>
      <c r="AM42" s="96">
        <f t="shared" si="34"/>
        <v>0</v>
      </c>
      <c r="AN42" s="96">
        <f t="shared" si="35"/>
        <v>1575000</v>
      </c>
      <c r="AO42" s="96">
        <f t="shared" si="36"/>
        <v>0</v>
      </c>
      <c r="AP42" s="73">
        <f t="shared" si="37"/>
        <v>0</v>
      </c>
      <c r="AQ42" s="73">
        <f t="shared" si="38"/>
        <v>48</v>
      </c>
      <c r="AR42" s="96">
        <f t="shared" si="39"/>
        <v>0</v>
      </c>
      <c r="AS42" s="96">
        <f t="shared" si="40"/>
        <v>1575000</v>
      </c>
      <c r="AT42" s="96">
        <f t="shared" si="41"/>
        <v>0</v>
      </c>
      <c r="AU42" s="60"/>
      <c r="AV42" s="202">
        <f t="shared" si="42"/>
        <v>0</v>
      </c>
      <c r="AW42" s="203">
        <f t="shared" si="14"/>
        <v>0</v>
      </c>
      <c r="AX42" s="203">
        <f t="shared" si="15"/>
        <v>0</v>
      </c>
      <c r="AY42" s="203">
        <f t="shared" si="16"/>
        <v>0</v>
      </c>
      <c r="AZ42" s="203">
        <f t="shared" si="17"/>
        <v>0</v>
      </c>
      <c r="BA42" s="203">
        <f t="shared" si="18"/>
        <v>0</v>
      </c>
      <c r="BB42" s="203">
        <f t="shared" si="19"/>
        <v>0</v>
      </c>
      <c r="BC42" s="203">
        <f t="shared" si="20"/>
        <v>0</v>
      </c>
      <c r="BD42" s="203">
        <f t="shared" si="21"/>
        <v>0</v>
      </c>
      <c r="BE42" s="203">
        <f t="shared" si="22"/>
        <v>0</v>
      </c>
      <c r="BF42" s="203">
        <f t="shared" si="23"/>
        <v>0</v>
      </c>
      <c r="BG42" s="203">
        <f t="shared" si="24"/>
        <v>0</v>
      </c>
      <c r="BH42" s="203">
        <f t="shared" si="25"/>
        <v>0</v>
      </c>
    </row>
    <row r="43" spans="2:60" x14ac:dyDescent="0.2">
      <c r="B43" s="68"/>
      <c r="C43" s="89">
        <v>40569</v>
      </c>
      <c r="D43" s="70"/>
      <c r="E43" s="71" t="s">
        <v>143</v>
      </c>
      <c r="F43" s="72"/>
      <c r="G43" s="90">
        <v>0.25</v>
      </c>
      <c r="H43" s="74">
        <v>650000</v>
      </c>
      <c r="I43" s="74"/>
      <c r="J43" s="74"/>
      <c r="K43" s="74">
        <f t="shared" si="0"/>
        <v>650000</v>
      </c>
      <c r="L43" s="74"/>
      <c r="M43" s="74"/>
      <c r="N43" s="74">
        <f t="shared" si="1"/>
        <v>650000</v>
      </c>
      <c r="O43" s="91">
        <f t="shared" si="2"/>
        <v>4</v>
      </c>
      <c r="P43" s="72">
        <f t="shared" si="44"/>
        <v>48</v>
      </c>
      <c r="Q43" s="72">
        <f t="shared" si="3"/>
        <v>1</v>
      </c>
      <c r="R43" s="92">
        <f t="shared" si="4"/>
        <v>2011</v>
      </c>
      <c r="S43" s="93">
        <f t="shared" si="5"/>
        <v>12</v>
      </c>
      <c r="T43" s="94">
        <f t="shared" si="6"/>
        <v>2014</v>
      </c>
      <c r="U43" s="96">
        <f t="shared" si="45"/>
        <v>13541.666666666666</v>
      </c>
      <c r="V43" s="73">
        <v>0</v>
      </c>
      <c r="W43" s="73">
        <v>48</v>
      </c>
      <c r="X43" s="96">
        <f t="shared" si="7"/>
        <v>0</v>
      </c>
      <c r="Y43" s="96">
        <v>650000</v>
      </c>
      <c r="Z43" s="96">
        <f t="shared" si="8"/>
        <v>0</v>
      </c>
      <c r="AA43" s="73">
        <f t="shared" si="9"/>
        <v>0</v>
      </c>
      <c r="AB43" s="73">
        <f t="shared" si="28"/>
        <v>48</v>
      </c>
      <c r="AC43" s="96">
        <f t="shared" si="10"/>
        <v>0</v>
      </c>
      <c r="AD43" s="96">
        <f t="shared" si="29"/>
        <v>650000</v>
      </c>
      <c r="AE43" s="96">
        <f t="shared" si="11"/>
        <v>0</v>
      </c>
      <c r="AF43" s="73">
        <f t="shared" si="43"/>
        <v>0</v>
      </c>
      <c r="AG43" s="73">
        <f t="shared" si="30"/>
        <v>48</v>
      </c>
      <c r="AH43" s="96">
        <f t="shared" si="31"/>
        <v>0</v>
      </c>
      <c r="AI43" s="96">
        <f t="shared" si="12"/>
        <v>650000</v>
      </c>
      <c r="AJ43" s="96">
        <f t="shared" si="13"/>
        <v>0</v>
      </c>
      <c r="AK43" s="73">
        <f t="shared" si="32"/>
        <v>0</v>
      </c>
      <c r="AL43" s="73">
        <f t="shared" si="33"/>
        <v>48</v>
      </c>
      <c r="AM43" s="96">
        <f t="shared" si="34"/>
        <v>0</v>
      </c>
      <c r="AN43" s="96">
        <f t="shared" si="35"/>
        <v>650000</v>
      </c>
      <c r="AO43" s="96">
        <f t="shared" si="36"/>
        <v>0</v>
      </c>
      <c r="AP43" s="73">
        <f t="shared" si="37"/>
        <v>0</v>
      </c>
      <c r="AQ43" s="73">
        <f t="shared" si="38"/>
        <v>48</v>
      </c>
      <c r="AR43" s="96">
        <f t="shared" si="39"/>
        <v>0</v>
      </c>
      <c r="AS43" s="96">
        <f t="shared" si="40"/>
        <v>650000</v>
      </c>
      <c r="AT43" s="96">
        <f t="shared" si="41"/>
        <v>0</v>
      </c>
      <c r="AU43" s="60"/>
      <c r="AV43" s="202">
        <f t="shared" si="42"/>
        <v>0</v>
      </c>
      <c r="AW43" s="203">
        <f t="shared" si="14"/>
        <v>0</v>
      </c>
      <c r="AX43" s="203">
        <f t="shared" si="15"/>
        <v>0</v>
      </c>
      <c r="AY43" s="203">
        <f t="shared" si="16"/>
        <v>0</v>
      </c>
      <c r="AZ43" s="203">
        <f t="shared" si="17"/>
        <v>0</v>
      </c>
      <c r="BA43" s="203">
        <f t="shared" si="18"/>
        <v>0</v>
      </c>
      <c r="BB43" s="203">
        <f t="shared" si="19"/>
        <v>0</v>
      </c>
      <c r="BC43" s="203">
        <f t="shared" si="20"/>
        <v>0</v>
      </c>
      <c r="BD43" s="203">
        <f t="shared" si="21"/>
        <v>0</v>
      </c>
      <c r="BE43" s="203">
        <f t="shared" si="22"/>
        <v>0</v>
      </c>
      <c r="BF43" s="203">
        <f t="shared" si="23"/>
        <v>0</v>
      </c>
      <c r="BG43" s="203">
        <f t="shared" si="24"/>
        <v>0</v>
      </c>
      <c r="BH43" s="203">
        <f t="shared" si="25"/>
        <v>0</v>
      </c>
    </row>
    <row r="44" spans="2:60" x14ac:dyDescent="0.2">
      <c r="B44" s="68"/>
      <c r="C44" s="89">
        <v>40984</v>
      </c>
      <c r="D44" s="70"/>
      <c r="E44" s="71" t="s">
        <v>144</v>
      </c>
      <c r="F44" s="72"/>
      <c r="G44" s="90">
        <v>0.25</v>
      </c>
      <c r="H44" s="74">
        <v>3880000</v>
      </c>
      <c r="I44" s="74"/>
      <c r="J44" s="74"/>
      <c r="K44" s="74">
        <f t="shared" si="0"/>
        <v>3880000</v>
      </c>
      <c r="L44" s="74"/>
      <c r="M44" s="74"/>
      <c r="N44" s="74">
        <f t="shared" si="1"/>
        <v>3880000</v>
      </c>
      <c r="O44" s="91">
        <f t="shared" si="2"/>
        <v>4</v>
      </c>
      <c r="P44" s="72">
        <f t="shared" si="44"/>
        <v>48</v>
      </c>
      <c r="Q44" s="72">
        <f t="shared" si="3"/>
        <v>3</v>
      </c>
      <c r="R44" s="92">
        <f t="shared" si="4"/>
        <v>2012</v>
      </c>
      <c r="S44" s="93">
        <f t="shared" si="5"/>
        <v>2</v>
      </c>
      <c r="T44" s="94">
        <f t="shared" si="6"/>
        <v>2016</v>
      </c>
      <c r="U44" s="96">
        <f t="shared" si="45"/>
        <v>80833.333333333328</v>
      </c>
      <c r="V44" s="73">
        <v>0</v>
      </c>
      <c r="W44" s="73">
        <v>48</v>
      </c>
      <c r="X44" s="96">
        <f t="shared" ref="X44:X75" si="46">+V44*U44</f>
        <v>0</v>
      </c>
      <c r="Y44" s="96">
        <v>3880000</v>
      </c>
      <c r="Z44" s="96">
        <f t="shared" ref="Z44:Z75" si="47">N44-Y44</f>
        <v>0</v>
      </c>
      <c r="AA44" s="73">
        <f t="shared" ref="AA44:AA75" si="48">IF(W44&gt;=P44-12,P44-W44,12)</f>
        <v>0</v>
      </c>
      <c r="AB44" s="73">
        <f t="shared" si="28"/>
        <v>48</v>
      </c>
      <c r="AC44" s="96">
        <f t="shared" ref="AC44:AC75" si="49">+AA44*U44</f>
        <v>0</v>
      </c>
      <c r="AD44" s="96">
        <f t="shared" si="29"/>
        <v>3880000</v>
      </c>
      <c r="AE44" s="96">
        <f t="shared" ref="AE44:AE75" si="50">N44-AD44</f>
        <v>0</v>
      </c>
      <c r="AF44" s="73">
        <f t="shared" si="43"/>
        <v>0</v>
      </c>
      <c r="AG44" s="73">
        <f t="shared" si="30"/>
        <v>48</v>
      </c>
      <c r="AH44" s="96">
        <f t="shared" si="31"/>
        <v>0</v>
      </c>
      <c r="AI44" s="96">
        <f t="shared" ref="AI44:AI75" si="51">AD44+AH44</f>
        <v>3880000</v>
      </c>
      <c r="AJ44" s="96">
        <f t="shared" ref="AJ44:AJ75" si="52">N44-AI44</f>
        <v>0</v>
      </c>
      <c r="AK44" s="73">
        <f t="shared" si="32"/>
        <v>0</v>
      </c>
      <c r="AL44" s="73">
        <f t="shared" si="33"/>
        <v>48</v>
      </c>
      <c r="AM44" s="96">
        <f t="shared" si="34"/>
        <v>0</v>
      </c>
      <c r="AN44" s="96">
        <f t="shared" si="35"/>
        <v>3880000</v>
      </c>
      <c r="AO44" s="96">
        <f t="shared" si="36"/>
        <v>0</v>
      </c>
      <c r="AP44" s="73">
        <f t="shared" si="37"/>
        <v>0</v>
      </c>
      <c r="AQ44" s="73">
        <f t="shared" si="38"/>
        <v>48</v>
      </c>
      <c r="AR44" s="96">
        <f t="shared" si="39"/>
        <v>0</v>
      </c>
      <c r="AS44" s="96">
        <f t="shared" si="40"/>
        <v>3880000</v>
      </c>
      <c r="AT44" s="96">
        <f t="shared" si="41"/>
        <v>0</v>
      </c>
      <c r="AU44" s="60"/>
      <c r="AV44" s="202">
        <f t="shared" si="42"/>
        <v>0</v>
      </c>
      <c r="AW44" s="203">
        <f t="shared" ref="AW44:AW75" si="53">+U44*0</f>
        <v>0</v>
      </c>
      <c r="AX44" s="203">
        <f t="shared" ref="AX44:AX75" si="54">+U44*0</f>
        <v>0</v>
      </c>
      <c r="AY44" s="203">
        <f t="shared" ref="AY44:AY75" si="55">+U44*0</f>
        <v>0</v>
      </c>
      <c r="AZ44" s="203">
        <f t="shared" ref="AZ44:AZ75" si="56">+U44*0</f>
        <v>0</v>
      </c>
      <c r="BA44" s="203">
        <f t="shared" ref="BA44:BA75" si="57">+U44*0</f>
        <v>0</v>
      </c>
      <c r="BB44" s="203">
        <f t="shared" ref="BB44:BB75" si="58">+U44*0</f>
        <v>0</v>
      </c>
      <c r="BC44" s="203">
        <f t="shared" ref="BC44:BC75" si="59">+U44*0</f>
        <v>0</v>
      </c>
      <c r="BD44" s="203">
        <f t="shared" ref="BD44:BD75" si="60">+U44*0</f>
        <v>0</v>
      </c>
      <c r="BE44" s="203">
        <f t="shared" ref="BE44:BE75" si="61">+U44*0</f>
        <v>0</v>
      </c>
      <c r="BF44" s="203">
        <f t="shared" ref="BF44:BF75" si="62">+U44*0</f>
        <v>0</v>
      </c>
      <c r="BG44" s="203">
        <f t="shared" ref="BG44:BG75" si="63">+U44*0</f>
        <v>0</v>
      </c>
      <c r="BH44" s="203">
        <f t="shared" ref="BH44:BH75" si="64">+U44*0</f>
        <v>0</v>
      </c>
    </row>
    <row r="45" spans="2:60" x14ac:dyDescent="0.2">
      <c r="B45" s="68"/>
      <c r="C45" s="89">
        <v>41194</v>
      </c>
      <c r="D45" s="70"/>
      <c r="E45" s="71" t="s">
        <v>145</v>
      </c>
      <c r="F45" s="72"/>
      <c r="G45" s="90">
        <v>0.25</v>
      </c>
      <c r="H45" s="74">
        <v>430000</v>
      </c>
      <c r="I45" s="74"/>
      <c r="J45" s="74"/>
      <c r="K45" s="74">
        <f t="shared" si="0"/>
        <v>430000</v>
      </c>
      <c r="L45" s="74"/>
      <c r="M45" s="74"/>
      <c r="N45" s="74">
        <f t="shared" si="1"/>
        <v>430000</v>
      </c>
      <c r="O45" s="91">
        <f t="shared" si="2"/>
        <v>4</v>
      </c>
      <c r="P45" s="72">
        <f>O45*12</f>
        <v>48</v>
      </c>
      <c r="Q45" s="72">
        <f t="shared" si="3"/>
        <v>10</v>
      </c>
      <c r="R45" s="92">
        <f t="shared" si="4"/>
        <v>2012</v>
      </c>
      <c r="S45" s="93">
        <f t="shared" si="5"/>
        <v>9</v>
      </c>
      <c r="T45" s="94">
        <f t="shared" si="6"/>
        <v>2016</v>
      </c>
      <c r="U45" s="96">
        <f>K45/P45</f>
        <v>8958.3333333333339</v>
      </c>
      <c r="V45" s="73">
        <v>0</v>
      </c>
      <c r="W45" s="73">
        <v>48</v>
      </c>
      <c r="X45" s="96">
        <f t="shared" si="46"/>
        <v>0</v>
      </c>
      <c r="Y45" s="96">
        <v>430000</v>
      </c>
      <c r="Z45" s="96">
        <f t="shared" si="47"/>
        <v>0</v>
      </c>
      <c r="AA45" s="73">
        <f t="shared" si="48"/>
        <v>0</v>
      </c>
      <c r="AB45" s="73">
        <f t="shared" si="28"/>
        <v>48</v>
      </c>
      <c r="AC45" s="96">
        <f t="shared" si="49"/>
        <v>0</v>
      </c>
      <c r="AD45" s="96">
        <f t="shared" si="29"/>
        <v>430000</v>
      </c>
      <c r="AE45" s="96">
        <f t="shared" si="50"/>
        <v>0</v>
      </c>
      <c r="AF45" s="73">
        <f t="shared" si="43"/>
        <v>0</v>
      </c>
      <c r="AG45" s="73">
        <f t="shared" si="30"/>
        <v>48</v>
      </c>
      <c r="AH45" s="96">
        <f t="shared" si="31"/>
        <v>0</v>
      </c>
      <c r="AI45" s="96">
        <f t="shared" si="51"/>
        <v>430000</v>
      </c>
      <c r="AJ45" s="96">
        <f t="shared" si="52"/>
        <v>0</v>
      </c>
      <c r="AK45" s="73">
        <f t="shared" si="32"/>
        <v>0</v>
      </c>
      <c r="AL45" s="73">
        <f t="shared" si="33"/>
        <v>48</v>
      </c>
      <c r="AM45" s="96">
        <f t="shared" si="34"/>
        <v>0</v>
      </c>
      <c r="AN45" s="96">
        <f t="shared" si="35"/>
        <v>430000</v>
      </c>
      <c r="AO45" s="96">
        <f t="shared" si="36"/>
        <v>0</v>
      </c>
      <c r="AP45" s="73">
        <f t="shared" si="37"/>
        <v>0</v>
      </c>
      <c r="AQ45" s="73">
        <f t="shared" si="38"/>
        <v>48</v>
      </c>
      <c r="AR45" s="96">
        <f t="shared" si="39"/>
        <v>0</v>
      </c>
      <c r="AS45" s="96">
        <f t="shared" si="40"/>
        <v>430000</v>
      </c>
      <c r="AT45" s="96">
        <f t="shared" si="41"/>
        <v>0</v>
      </c>
      <c r="AU45" s="60"/>
      <c r="AV45" s="202">
        <f t="shared" si="42"/>
        <v>0</v>
      </c>
      <c r="AW45" s="203">
        <f t="shared" si="53"/>
        <v>0</v>
      </c>
      <c r="AX45" s="203">
        <f t="shared" si="54"/>
        <v>0</v>
      </c>
      <c r="AY45" s="203">
        <f t="shared" si="55"/>
        <v>0</v>
      </c>
      <c r="AZ45" s="203">
        <f t="shared" si="56"/>
        <v>0</v>
      </c>
      <c r="BA45" s="203">
        <f t="shared" si="57"/>
        <v>0</v>
      </c>
      <c r="BB45" s="203">
        <f t="shared" si="58"/>
        <v>0</v>
      </c>
      <c r="BC45" s="203">
        <f t="shared" si="59"/>
        <v>0</v>
      </c>
      <c r="BD45" s="203">
        <f t="shared" si="60"/>
        <v>0</v>
      </c>
      <c r="BE45" s="203">
        <f t="shared" si="61"/>
        <v>0</v>
      </c>
      <c r="BF45" s="203">
        <f t="shared" si="62"/>
        <v>0</v>
      </c>
      <c r="BG45" s="203">
        <f t="shared" si="63"/>
        <v>0</v>
      </c>
      <c r="BH45" s="203">
        <f t="shared" si="64"/>
        <v>0</v>
      </c>
    </row>
    <row r="46" spans="2:60" x14ac:dyDescent="0.2">
      <c r="B46" s="68"/>
      <c r="C46" s="89">
        <v>41205</v>
      </c>
      <c r="D46" s="70"/>
      <c r="E46" s="71" t="s">
        <v>146</v>
      </c>
      <c r="F46" s="72"/>
      <c r="G46" s="90">
        <v>0.25</v>
      </c>
      <c r="H46" s="74">
        <v>346300</v>
      </c>
      <c r="I46" s="74"/>
      <c r="J46" s="74"/>
      <c r="K46" s="74">
        <f t="shared" si="0"/>
        <v>346300</v>
      </c>
      <c r="L46" s="74"/>
      <c r="M46" s="74"/>
      <c r="N46" s="74">
        <f t="shared" si="1"/>
        <v>346300</v>
      </c>
      <c r="O46" s="91">
        <f t="shared" si="2"/>
        <v>4</v>
      </c>
      <c r="P46" s="72">
        <f t="shared" ref="P46:P125" si="65">O46*12</f>
        <v>48</v>
      </c>
      <c r="Q46" s="72">
        <f t="shared" si="3"/>
        <v>10</v>
      </c>
      <c r="R46" s="92">
        <f t="shared" si="4"/>
        <v>2012</v>
      </c>
      <c r="S46" s="93">
        <f t="shared" si="5"/>
        <v>9</v>
      </c>
      <c r="T46" s="94">
        <f t="shared" si="6"/>
        <v>2016</v>
      </c>
      <c r="U46" s="96">
        <f t="shared" ref="U46:U125" si="66">K46/P46</f>
        <v>7214.583333333333</v>
      </c>
      <c r="V46" s="73">
        <v>0</v>
      </c>
      <c r="W46" s="73">
        <v>48</v>
      </c>
      <c r="X46" s="96">
        <f t="shared" si="46"/>
        <v>0</v>
      </c>
      <c r="Y46" s="96">
        <v>346300</v>
      </c>
      <c r="Z46" s="96">
        <f t="shared" si="47"/>
        <v>0</v>
      </c>
      <c r="AA46" s="73">
        <f t="shared" si="48"/>
        <v>0</v>
      </c>
      <c r="AB46" s="73">
        <f t="shared" si="28"/>
        <v>48</v>
      </c>
      <c r="AC46" s="96">
        <f t="shared" si="49"/>
        <v>0</v>
      </c>
      <c r="AD46" s="96">
        <f t="shared" si="29"/>
        <v>346300</v>
      </c>
      <c r="AE46" s="96">
        <f t="shared" si="50"/>
        <v>0</v>
      </c>
      <c r="AF46" s="73">
        <f t="shared" si="43"/>
        <v>0</v>
      </c>
      <c r="AG46" s="73">
        <f t="shared" si="30"/>
        <v>48</v>
      </c>
      <c r="AH46" s="96">
        <f t="shared" si="31"/>
        <v>0</v>
      </c>
      <c r="AI46" s="96">
        <f t="shared" si="51"/>
        <v>346300</v>
      </c>
      <c r="AJ46" s="96">
        <f t="shared" si="52"/>
        <v>0</v>
      </c>
      <c r="AK46" s="73">
        <f t="shared" si="32"/>
        <v>0</v>
      </c>
      <c r="AL46" s="73">
        <f t="shared" si="33"/>
        <v>48</v>
      </c>
      <c r="AM46" s="96">
        <f t="shared" si="34"/>
        <v>0</v>
      </c>
      <c r="AN46" s="96">
        <f t="shared" si="35"/>
        <v>346300</v>
      </c>
      <c r="AO46" s="96">
        <f t="shared" si="36"/>
        <v>0</v>
      </c>
      <c r="AP46" s="73">
        <f t="shared" si="37"/>
        <v>0</v>
      </c>
      <c r="AQ46" s="73">
        <f t="shared" si="38"/>
        <v>48</v>
      </c>
      <c r="AR46" s="96">
        <f t="shared" si="39"/>
        <v>0</v>
      </c>
      <c r="AS46" s="96">
        <f t="shared" si="40"/>
        <v>346300</v>
      </c>
      <c r="AT46" s="96">
        <f t="shared" si="41"/>
        <v>0</v>
      </c>
      <c r="AU46" s="60"/>
      <c r="AV46" s="202">
        <f t="shared" si="42"/>
        <v>0</v>
      </c>
      <c r="AW46" s="203">
        <f t="shared" si="53"/>
        <v>0</v>
      </c>
      <c r="AX46" s="203">
        <f t="shared" si="54"/>
        <v>0</v>
      </c>
      <c r="AY46" s="203">
        <f t="shared" si="55"/>
        <v>0</v>
      </c>
      <c r="AZ46" s="203">
        <f t="shared" si="56"/>
        <v>0</v>
      </c>
      <c r="BA46" s="203">
        <f t="shared" si="57"/>
        <v>0</v>
      </c>
      <c r="BB46" s="203">
        <f t="shared" si="58"/>
        <v>0</v>
      </c>
      <c r="BC46" s="203">
        <f t="shared" si="59"/>
        <v>0</v>
      </c>
      <c r="BD46" s="203">
        <f t="shared" si="60"/>
        <v>0</v>
      </c>
      <c r="BE46" s="203">
        <f t="shared" si="61"/>
        <v>0</v>
      </c>
      <c r="BF46" s="203">
        <f t="shared" si="62"/>
        <v>0</v>
      </c>
      <c r="BG46" s="203">
        <f t="shared" si="63"/>
        <v>0</v>
      </c>
      <c r="BH46" s="203">
        <f t="shared" si="64"/>
        <v>0</v>
      </c>
    </row>
    <row r="47" spans="2:60" x14ac:dyDescent="0.2">
      <c r="B47" s="68"/>
      <c r="C47" s="89">
        <v>41204</v>
      </c>
      <c r="D47" s="70"/>
      <c r="E47" s="71" t="s">
        <v>147</v>
      </c>
      <c r="F47" s="72"/>
      <c r="G47" s="90">
        <v>0.25</v>
      </c>
      <c r="H47" s="74">
        <v>2400000</v>
      </c>
      <c r="I47" s="74"/>
      <c r="J47" s="74"/>
      <c r="K47" s="74">
        <f t="shared" si="0"/>
        <v>2400000</v>
      </c>
      <c r="L47" s="74"/>
      <c r="M47" s="74"/>
      <c r="N47" s="74">
        <f t="shared" si="1"/>
        <v>2400000</v>
      </c>
      <c r="O47" s="91">
        <f t="shared" si="2"/>
        <v>4</v>
      </c>
      <c r="P47" s="72">
        <f t="shared" si="65"/>
        <v>48</v>
      </c>
      <c r="Q47" s="72">
        <f t="shared" si="3"/>
        <v>10</v>
      </c>
      <c r="R47" s="92">
        <f t="shared" si="4"/>
        <v>2012</v>
      </c>
      <c r="S47" s="93">
        <f t="shared" si="5"/>
        <v>9</v>
      </c>
      <c r="T47" s="94">
        <f t="shared" si="6"/>
        <v>2016</v>
      </c>
      <c r="U47" s="96">
        <f t="shared" si="66"/>
        <v>50000</v>
      </c>
      <c r="V47" s="73">
        <v>0</v>
      </c>
      <c r="W47" s="73">
        <v>48</v>
      </c>
      <c r="X47" s="96">
        <f t="shared" si="46"/>
        <v>0</v>
      </c>
      <c r="Y47" s="96">
        <v>2400000</v>
      </c>
      <c r="Z47" s="96">
        <f t="shared" si="47"/>
        <v>0</v>
      </c>
      <c r="AA47" s="73">
        <f t="shared" si="48"/>
        <v>0</v>
      </c>
      <c r="AB47" s="73">
        <f t="shared" si="28"/>
        <v>48</v>
      </c>
      <c r="AC47" s="96">
        <f t="shared" si="49"/>
        <v>0</v>
      </c>
      <c r="AD47" s="96">
        <f t="shared" si="29"/>
        <v>2400000</v>
      </c>
      <c r="AE47" s="96">
        <f t="shared" si="50"/>
        <v>0</v>
      </c>
      <c r="AF47" s="73">
        <f t="shared" si="43"/>
        <v>0</v>
      </c>
      <c r="AG47" s="73">
        <f t="shared" si="30"/>
        <v>48</v>
      </c>
      <c r="AH47" s="96">
        <f t="shared" si="31"/>
        <v>0</v>
      </c>
      <c r="AI47" s="96">
        <f t="shared" si="51"/>
        <v>2400000</v>
      </c>
      <c r="AJ47" s="96">
        <f t="shared" si="52"/>
        <v>0</v>
      </c>
      <c r="AK47" s="73">
        <f t="shared" si="32"/>
        <v>0</v>
      </c>
      <c r="AL47" s="73">
        <f t="shared" si="33"/>
        <v>48</v>
      </c>
      <c r="AM47" s="96">
        <f t="shared" si="34"/>
        <v>0</v>
      </c>
      <c r="AN47" s="96">
        <f t="shared" si="35"/>
        <v>2400000</v>
      </c>
      <c r="AO47" s="96">
        <f t="shared" si="36"/>
        <v>0</v>
      </c>
      <c r="AP47" s="73">
        <f t="shared" si="37"/>
        <v>0</v>
      </c>
      <c r="AQ47" s="73">
        <f t="shared" si="38"/>
        <v>48</v>
      </c>
      <c r="AR47" s="96">
        <f t="shared" si="39"/>
        <v>0</v>
      </c>
      <c r="AS47" s="96">
        <f t="shared" si="40"/>
        <v>2400000</v>
      </c>
      <c r="AT47" s="96">
        <f t="shared" si="41"/>
        <v>0</v>
      </c>
      <c r="AU47" s="60"/>
      <c r="AV47" s="202">
        <f t="shared" si="42"/>
        <v>0</v>
      </c>
      <c r="AW47" s="203">
        <f t="shared" si="53"/>
        <v>0</v>
      </c>
      <c r="AX47" s="203">
        <f t="shared" si="54"/>
        <v>0</v>
      </c>
      <c r="AY47" s="203">
        <f t="shared" si="55"/>
        <v>0</v>
      </c>
      <c r="AZ47" s="203">
        <f t="shared" si="56"/>
        <v>0</v>
      </c>
      <c r="BA47" s="203">
        <f t="shared" si="57"/>
        <v>0</v>
      </c>
      <c r="BB47" s="203">
        <f t="shared" si="58"/>
        <v>0</v>
      </c>
      <c r="BC47" s="203">
        <f t="shared" si="59"/>
        <v>0</v>
      </c>
      <c r="BD47" s="203">
        <f t="shared" si="60"/>
        <v>0</v>
      </c>
      <c r="BE47" s="203">
        <f t="shared" si="61"/>
        <v>0</v>
      </c>
      <c r="BF47" s="203">
        <f t="shared" si="62"/>
        <v>0</v>
      </c>
      <c r="BG47" s="203">
        <f t="shared" si="63"/>
        <v>0</v>
      </c>
      <c r="BH47" s="203">
        <f t="shared" si="64"/>
        <v>0</v>
      </c>
    </row>
    <row r="48" spans="2:60" x14ac:dyDescent="0.2">
      <c r="B48" s="68"/>
      <c r="C48" s="89">
        <v>41108</v>
      </c>
      <c r="D48" s="70"/>
      <c r="E48" s="71" t="s">
        <v>148</v>
      </c>
      <c r="F48" s="72"/>
      <c r="G48" s="90">
        <v>0.25</v>
      </c>
      <c r="H48" s="74">
        <v>475000</v>
      </c>
      <c r="I48" s="74"/>
      <c r="J48" s="74"/>
      <c r="K48" s="74">
        <f t="shared" si="0"/>
        <v>475000</v>
      </c>
      <c r="L48" s="74"/>
      <c r="M48" s="74"/>
      <c r="N48" s="74">
        <f t="shared" si="1"/>
        <v>475000</v>
      </c>
      <c r="O48" s="91">
        <f t="shared" si="2"/>
        <v>4</v>
      </c>
      <c r="P48" s="72">
        <f t="shared" si="65"/>
        <v>48</v>
      </c>
      <c r="Q48" s="72">
        <f t="shared" si="3"/>
        <v>7</v>
      </c>
      <c r="R48" s="92">
        <f t="shared" si="4"/>
        <v>2012</v>
      </c>
      <c r="S48" s="93">
        <f t="shared" si="5"/>
        <v>6</v>
      </c>
      <c r="T48" s="94">
        <f t="shared" si="6"/>
        <v>2016</v>
      </c>
      <c r="U48" s="96">
        <f t="shared" si="66"/>
        <v>9895.8333333333339</v>
      </c>
      <c r="V48" s="73">
        <v>0</v>
      </c>
      <c r="W48" s="73">
        <v>48</v>
      </c>
      <c r="X48" s="96">
        <f t="shared" si="46"/>
        <v>0</v>
      </c>
      <c r="Y48" s="96">
        <v>475000</v>
      </c>
      <c r="Z48" s="96">
        <f t="shared" si="47"/>
        <v>0</v>
      </c>
      <c r="AA48" s="73">
        <f t="shared" si="48"/>
        <v>0</v>
      </c>
      <c r="AB48" s="73">
        <f t="shared" si="28"/>
        <v>48</v>
      </c>
      <c r="AC48" s="96">
        <f t="shared" si="49"/>
        <v>0</v>
      </c>
      <c r="AD48" s="96">
        <f t="shared" si="29"/>
        <v>475000</v>
      </c>
      <c r="AE48" s="96">
        <f t="shared" si="50"/>
        <v>0</v>
      </c>
      <c r="AF48" s="73">
        <f t="shared" si="43"/>
        <v>0</v>
      </c>
      <c r="AG48" s="73">
        <f t="shared" si="30"/>
        <v>48</v>
      </c>
      <c r="AH48" s="96">
        <f t="shared" si="31"/>
        <v>0</v>
      </c>
      <c r="AI48" s="96">
        <f t="shared" si="51"/>
        <v>475000</v>
      </c>
      <c r="AJ48" s="96">
        <f t="shared" si="52"/>
        <v>0</v>
      </c>
      <c r="AK48" s="73">
        <f t="shared" si="32"/>
        <v>0</v>
      </c>
      <c r="AL48" s="73">
        <f t="shared" si="33"/>
        <v>48</v>
      </c>
      <c r="AM48" s="96">
        <f t="shared" si="34"/>
        <v>0</v>
      </c>
      <c r="AN48" s="96">
        <f t="shared" si="35"/>
        <v>475000</v>
      </c>
      <c r="AO48" s="96">
        <f t="shared" si="36"/>
        <v>0</v>
      </c>
      <c r="AP48" s="73">
        <f t="shared" si="37"/>
        <v>0</v>
      </c>
      <c r="AQ48" s="73">
        <f t="shared" si="38"/>
        <v>48</v>
      </c>
      <c r="AR48" s="96">
        <f t="shared" si="39"/>
        <v>0</v>
      </c>
      <c r="AS48" s="96">
        <f t="shared" si="40"/>
        <v>475000</v>
      </c>
      <c r="AT48" s="96">
        <f t="shared" si="41"/>
        <v>0</v>
      </c>
      <c r="AU48" s="60"/>
      <c r="AV48" s="202">
        <f t="shared" si="42"/>
        <v>0</v>
      </c>
      <c r="AW48" s="203">
        <f t="shared" si="53"/>
        <v>0</v>
      </c>
      <c r="AX48" s="203">
        <f t="shared" si="54"/>
        <v>0</v>
      </c>
      <c r="AY48" s="203">
        <f t="shared" si="55"/>
        <v>0</v>
      </c>
      <c r="AZ48" s="203">
        <f t="shared" si="56"/>
        <v>0</v>
      </c>
      <c r="BA48" s="203">
        <f t="shared" si="57"/>
        <v>0</v>
      </c>
      <c r="BB48" s="203">
        <f t="shared" si="58"/>
        <v>0</v>
      </c>
      <c r="BC48" s="203">
        <f t="shared" si="59"/>
        <v>0</v>
      </c>
      <c r="BD48" s="203">
        <f t="shared" si="60"/>
        <v>0</v>
      </c>
      <c r="BE48" s="203">
        <f t="shared" si="61"/>
        <v>0</v>
      </c>
      <c r="BF48" s="203">
        <f t="shared" si="62"/>
        <v>0</v>
      </c>
      <c r="BG48" s="203">
        <f t="shared" si="63"/>
        <v>0</v>
      </c>
      <c r="BH48" s="203">
        <f t="shared" si="64"/>
        <v>0</v>
      </c>
    </row>
    <row r="49" spans="2:60" x14ac:dyDescent="0.2">
      <c r="B49" s="68"/>
      <c r="C49" s="89">
        <v>41124</v>
      </c>
      <c r="D49" s="70"/>
      <c r="E49" s="71" t="s">
        <v>149</v>
      </c>
      <c r="F49" s="72"/>
      <c r="G49" s="90">
        <v>0.25</v>
      </c>
      <c r="H49" s="74">
        <v>24415530</v>
      </c>
      <c r="I49" s="74"/>
      <c r="J49" s="74"/>
      <c r="K49" s="74">
        <f t="shared" si="0"/>
        <v>24415530</v>
      </c>
      <c r="L49" s="74"/>
      <c r="M49" s="74"/>
      <c r="N49" s="74">
        <f t="shared" si="1"/>
        <v>24415530</v>
      </c>
      <c r="O49" s="91">
        <f t="shared" si="2"/>
        <v>4</v>
      </c>
      <c r="P49" s="72">
        <f t="shared" si="65"/>
        <v>48</v>
      </c>
      <c r="Q49" s="72">
        <f t="shared" si="3"/>
        <v>8</v>
      </c>
      <c r="R49" s="92">
        <f t="shared" si="4"/>
        <v>2012</v>
      </c>
      <c r="S49" s="93">
        <f t="shared" si="5"/>
        <v>7</v>
      </c>
      <c r="T49" s="94">
        <f t="shared" si="6"/>
        <v>2016</v>
      </c>
      <c r="U49" s="96">
        <f t="shared" si="66"/>
        <v>508656.875</v>
      </c>
      <c r="V49" s="73">
        <v>0</v>
      </c>
      <c r="W49" s="73">
        <v>48</v>
      </c>
      <c r="X49" s="96">
        <f t="shared" si="46"/>
        <v>0</v>
      </c>
      <c r="Y49" s="96">
        <v>24415530</v>
      </c>
      <c r="Z49" s="96">
        <f t="shared" si="47"/>
        <v>0</v>
      </c>
      <c r="AA49" s="73">
        <f t="shared" si="48"/>
        <v>0</v>
      </c>
      <c r="AB49" s="73">
        <f t="shared" si="28"/>
        <v>48</v>
      </c>
      <c r="AC49" s="96">
        <f t="shared" si="49"/>
        <v>0</v>
      </c>
      <c r="AD49" s="96">
        <f t="shared" si="29"/>
        <v>24415530</v>
      </c>
      <c r="AE49" s="96">
        <f t="shared" si="50"/>
        <v>0</v>
      </c>
      <c r="AF49" s="73">
        <f t="shared" si="43"/>
        <v>0</v>
      </c>
      <c r="AG49" s="73">
        <f t="shared" si="30"/>
        <v>48</v>
      </c>
      <c r="AH49" s="96">
        <f t="shared" si="31"/>
        <v>0</v>
      </c>
      <c r="AI49" s="96">
        <f t="shared" si="51"/>
        <v>24415530</v>
      </c>
      <c r="AJ49" s="96">
        <f t="shared" si="52"/>
        <v>0</v>
      </c>
      <c r="AK49" s="73">
        <f t="shared" si="32"/>
        <v>0</v>
      </c>
      <c r="AL49" s="73">
        <f t="shared" si="33"/>
        <v>48</v>
      </c>
      <c r="AM49" s="96">
        <f t="shared" si="34"/>
        <v>0</v>
      </c>
      <c r="AN49" s="96">
        <f t="shared" si="35"/>
        <v>24415530</v>
      </c>
      <c r="AO49" s="96">
        <f t="shared" si="36"/>
        <v>0</v>
      </c>
      <c r="AP49" s="73">
        <f t="shared" si="37"/>
        <v>0</v>
      </c>
      <c r="AQ49" s="73">
        <f t="shared" si="38"/>
        <v>48</v>
      </c>
      <c r="AR49" s="96">
        <f t="shared" si="39"/>
        <v>0</v>
      </c>
      <c r="AS49" s="96">
        <f t="shared" si="40"/>
        <v>24415530</v>
      </c>
      <c r="AT49" s="96">
        <f t="shared" si="41"/>
        <v>0</v>
      </c>
      <c r="AU49" s="60"/>
      <c r="AV49" s="202">
        <f t="shared" si="42"/>
        <v>0</v>
      </c>
      <c r="AW49" s="203">
        <f t="shared" si="53"/>
        <v>0</v>
      </c>
      <c r="AX49" s="203">
        <f t="shared" si="54"/>
        <v>0</v>
      </c>
      <c r="AY49" s="203">
        <f t="shared" si="55"/>
        <v>0</v>
      </c>
      <c r="AZ49" s="203">
        <f t="shared" si="56"/>
        <v>0</v>
      </c>
      <c r="BA49" s="203">
        <f t="shared" si="57"/>
        <v>0</v>
      </c>
      <c r="BB49" s="203">
        <f t="shared" si="58"/>
        <v>0</v>
      </c>
      <c r="BC49" s="203">
        <f t="shared" si="59"/>
        <v>0</v>
      </c>
      <c r="BD49" s="203">
        <f t="shared" si="60"/>
        <v>0</v>
      </c>
      <c r="BE49" s="203">
        <f t="shared" si="61"/>
        <v>0</v>
      </c>
      <c r="BF49" s="203">
        <f t="shared" si="62"/>
        <v>0</v>
      </c>
      <c r="BG49" s="203">
        <f t="shared" si="63"/>
        <v>0</v>
      </c>
      <c r="BH49" s="203">
        <f t="shared" si="64"/>
        <v>0</v>
      </c>
    </row>
    <row r="50" spans="2:60" x14ac:dyDescent="0.2">
      <c r="B50" s="68"/>
      <c r="C50" s="89">
        <v>41166</v>
      </c>
      <c r="D50" s="70"/>
      <c r="E50" s="71" t="s">
        <v>150</v>
      </c>
      <c r="F50" s="72"/>
      <c r="G50" s="90">
        <v>0.25</v>
      </c>
      <c r="H50" s="74">
        <v>770000</v>
      </c>
      <c r="I50" s="74"/>
      <c r="J50" s="74"/>
      <c r="K50" s="74">
        <f t="shared" si="0"/>
        <v>770000</v>
      </c>
      <c r="L50" s="74"/>
      <c r="M50" s="74"/>
      <c r="N50" s="74">
        <f t="shared" si="1"/>
        <v>770000</v>
      </c>
      <c r="O50" s="91">
        <f t="shared" si="2"/>
        <v>4</v>
      </c>
      <c r="P50" s="72">
        <f t="shared" si="65"/>
        <v>48</v>
      </c>
      <c r="Q50" s="72">
        <f t="shared" si="3"/>
        <v>9</v>
      </c>
      <c r="R50" s="92">
        <f t="shared" si="4"/>
        <v>2012</v>
      </c>
      <c r="S50" s="93">
        <f t="shared" si="5"/>
        <v>8</v>
      </c>
      <c r="T50" s="94">
        <f t="shared" si="6"/>
        <v>2016</v>
      </c>
      <c r="U50" s="96">
        <f t="shared" si="66"/>
        <v>16041.666666666666</v>
      </c>
      <c r="V50" s="73">
        <v>0</v>
      </c>
      <c r="W50" s="73">
        <v>48</v>
      </c>
      <c r="X50" s="96">
        <f t="shared" si="46"/>
        <v>0</v>
      </c>
      <c r="Y50" s="96">
        <v>770000</v>
      </c>
      <c r="Z50" s="96">
        <f t="shared" si="47"/>
        <v>0</v>
      </c>
      <c r="AA50" s="73">
        <f t="shared" si="48"/>
        <v>0</v>
      </c>
      <c r="AB50" s="73">
        <f t="shared" si="28"/>
        <v>48</v>
      </c>
      <c r="AC50" s="96">
        <f t="shared" si="49"/>
        <v>0</v>
      </c>
      <c r="AD50" s="96">
        <f t="shared" si="29"/>
        <v>770000</v>
      </c>
      <c r="AE50" s="96">
        <f t="shared" si="50"/>
        <v>0</v>
      </c>
      <c r="AF50" s="73">
        <f t="shared" si="43"/>
        <v>0</v>
      </c>
      <c r="AG50" s="73">
        <f t="shared" si="30"/>
        <v>48</v>
      </c>
      <c r="AH50" s="96">
        <f t="shared" si="31"/>
        <v>0</v>
      </c>
      <c r="AI50" s="96">
        <f t="shared" si="51"/>
        <v>770000</v>
      </c>
      <c r="AJ50" s="96">
        <f t="shared" si="52"/>
        <v>0</v>
      </c>
      <c r="AK50" s="73">
        <f t="shared" si="32"/>
        <v>0</v>
      </c>
      <c r="AL50" s="73">
        <f t="shared" si="33"/>
        <v>48</v>
      </c>
      <c r="AM50" s="96">
        <f t="shared" si="34"/>
        <v>0</v>
      </c>
      <c r="AN50" s="96">
        <f t="shared" si="35"/>
        <v>770000</v>
      </c>
      <c r="AO50" s="96">
        <f t="shared" si="36"/>
        <v>0</v>
      </c>
      <c r="AP50" s="73">
        <f t="shared" si="37"/>
        <v>0</v>
      </c>
      <c r="AQ50" s="73">
        <f t="shared" si="38"/>
        <v>48</v>
      </c>
      <c r="AR50" s="96">
        <f t="shared" si="39"/>
        <v>0</v>
      </c>
      <c r="AS50" s="96">
        <f t="shared" si="40"/>
        <v>770000</v>
      </c>
      <c r="AT50" s="96">
        <f t="shared" si="41"/>
        <v>0</v>
      </c>
      <c r="AU50" s="60"/>
      <c r="AV50" s="202">
        <f t="shared" si="42"/>
        <v>0</v>
      </c>
      <c r="AW50" s="203">
        <f t="shared" si="53"/>
        <v>0</v>
      </c>
      <c r="AX50" s="203">
        <f t="shared" si="54"/>
        <v>0</v>
      </c>
      <c r="AY50" s="203">
        <f t="shared" si="55"/>
        <v>0</v>
      </c>
      <c r="AZ50" s="203">
        <f t="shared" si="56"/>
        <v>0</v>
      </c>
      <c r="BA50" s="203">
        <f t="shared" si="57"/>
        <v>0</v>
      </c>
      <c r="BB50" s="203">
        <f t="shared" si="58"/>
        <v>0</v>
      </c>
      <c r="BC50" s="203">
        <f t="shared" si="59"/>
        <v>0</v>
      </c>
      <c r="BD50" s="203">
        <f t="shared" si="60"/>
        <v>0</v>
      </c>
      <c r="BE50" s="203">
        <f t="shared" si="61"/>
        <v>0</v>
      </c>
      <c r="BF50" s="203">
        <f t="shared" si="62"/>
        <v>0</v>
      </c>
      <c r="BG50" s="203">
        <f t="shared" si="63"/>
        <v>0</v>
      </c>
      <c r="BH50" s="203">
        <f t="shared" si="64"/>
        <v>0</v>
      </c>
    </row>
    <row r="51" spans="2:60" x14ac:dyDescent="0.2">
      <c r="B51" s="68"/>
      <c r="C51" s="89">
        <v>41214</v>
      </c>
      <c r="D51" s="70"/>
      <c r="E51" s="71" t="s">
        <v>151</v>
      </c>
      <c r="F51" s="72"/>
      <c r="G51" s="90">
        <v>0.25</v>
      </c>
      <c r="H51" s="74">
        <v>3400000</v>
      </c>
      <c r="I51" s="74"/>
      <c r="J51" s="74"/>
      <c r="K51" s="74">
        <f t="shared" si="0"/>
        <v>3400000</v>
      </c>
      <c r="L51" s="74"/>
      <c r="M51" s="74"/>
      <c r="N51" s="74">
        <f t="shared" si="1"/>
        <v>3400000</v>
      </c>
      <c r="O51" s="91">
        <f t="shared" si="2"/>
        <v>4</v>
      </c>
      <c r="P51" s="72">
        <f t="shared" si="65"/>
        <v>48</v>
      </c>
      <c r="Q51" s="72">
        <f t="shared" si="3"/>
        <v>11</v>
      </c>
      <c r="R51" s="92">
        <f t="shared" si="4"/>
        <v>2012</v>
      </c>
      <c r="S51" s="93">
        <f t="shared" si="5"/>
        <v>10</v>
      </c>
      <c r="T51" s="94">
        <f t="shared" si="6"/>
        <v>2016</v>
      </c>
      <c r="U51" s="96">
        <f t="shared" si="66"/>
        <v>70833.333333333328</v>
      </c>
      <c r="V51" s="73">
        <v>0</v>
      </c>
      <c r="W51" s="73">
        <v>48</v>
      </c>
      <c r="X51" s="96">
        <f t="shared" si="46"/>
        <v>0</v>
      </c>
      <c r="Y51" s="96">
        <v>3400000</v>
      </c>
      <c r="Z51" s="96">
        <f t="shared" si="47"/>
        <v>0</v>
      </c>
      <c r="AA51" s="73">
        <f t="shared" si="48"/>
        <v>0</v>
      </c>
      <c r="AB51" s="73">
        <f t="shared" si="28"/>
        <v>48</v>
      </c>
      <c r="AC51" s="96">
        <f t="shared" si="49"/>
        <v>0</v>
      </c>
      <c r="AD51" s="96">
        <f t="shared" si="29"/>
        <v>3400000</v>
      </c>
      <c r="AE51" s="96">
        <f t="shared" si="50"/>
        <v>0</v>
      </c>
      <c r="AF51" s="73">
        <f t="shared" si="43"/>
        <v>0</v>
      </c>
      <c r="AG51" s="73">
        <f t="shared" si="30"/>
        <v>48</v>
      </c>
      <c r="AH51" s="96">
        <f t="shared" si="31"/>
        <v>0</v>
      </c>
      <c r="AI51" s="96">
        <f t="shared" si="51"/>
        <v>3400000</v>
      </c>
      <c r="AJ51" s="96">
        <f t="shared" si="52"/>
        <v>0</v>
      </c>
      <c r="AK51" s="73">
        <f t="shared" si="32"/>
        <v>0</v>
      </c>
      <c r="AL51" s="73">
        <f t="shared" si="33"/>
        <v>48</v>
      </c>
      <c r="AM51" s="96">
        <f t="shared" si="34"/>
        <v>0</v>
      </c>
      <c r="AN51" s="96">
        <f t="shared" si="35"/>
        <v>3400000</v>
      </c>
      <c r="AO51" s="96">
        <f t="shared" si="36"/>
        <v>0</v>
      </c>
      <c r="AP51" s="73">
        <f t="shared" si="37"/>
        <v>0</v>
      </c>
      <c r="AQ51" s="73">
        <f t="shared" si="38"/>
        <v>48</v>
      </c>
      <c r="AR51" s="96">
        <f t="shared" si="39"/>
        <v>0</v>
      </c>
      <c r="AS51" s="96">
        <f t="shared" si="40"/>
        <v>3400000</v>
      </c>
      <c r="AT51" s="96">
        <f t="shared" si="41"/>
        <v>0</v>
      </c>
      <c r="AU51" s="60"/>
      <c r="AV51" s="202">
        <f t="shared" si="42"/>
        <v>0</v>
      </c>
      <c r="AW51" s="203">
        <f t="shared" si="53"/>
        <v>0</v>
      </c>
      <c r="AX51" s="203">
        <f t="shared" si="54"/>
        <v>0</v>
      </c>
      <c r="AY51" s="203">
        <f t="shared" si="55"/>
        <v>0</v>
      </c>
      <c r="AZ51" s="203">
        <f t="shared" si="56"/>
        <v>0</v>
      </c>
      <c r="BA51" s="203">
        <f t="shared" si="57"/>
        <v>0</v>
      </c>
      <c r="BB51" s="203">
        <f t="shared" si="58"/>
        <v>0</v>
      </c>
      <c r="BC51" s="203">
        <f t="shared" si="59"/>
        <v>0</v>
      </c>
      <c r="BD51" s="203">
        <f t="shared" si="60"/>
        <v>0</v>
      </c>
      <c r="BE51" s="203">
        <f t="shared" si="61"/>
        <v>0</v>
      </c>
      <c r="BF51" s="203">
        <f t="shared" si="62"/>
        <v>0</v>
      </c>
      <c r="BG51" s="203">
        <f t="shared" si="63"/>
        <v>0</v>
      </c>
      <c r="BH51" s="203">
        <f t="shared" si="64"/>
        <v>0</v>
      </c>
    </row>
    <row r="52" spans="2:60" x14ac:dyDescent="0.2">
      <c r="B52" s="68"/>
      <c r="C52" s="89">
        <v>41355</v>
      </c>
      <c r="D52" s="70"/>
      <c r="E52" s="71" t="s">
        <v>152</v>
      </c>
      <c r="F52" s="72"/>
      <c r="G52" s="90">
        <v>0.25</v>
      </c>
      <c r="H52" s="74">
        <v>3750000</v>
      </c>
      <c r="I52" s="74"/>
      <c r="J52" s="74"/>
      <c r="K52" s="74">
        <f t="shared" si="0"/>
        <v>3750000</v>
      </c>
      <c r="L52" s="74"/>
      <c r="M52" s="74"/>
      <c r="N52" s="74">
        <f t="shared" si="1"/>
        <v>3750000</v>
      </c>
      <c r="O52" s="91">
        <f t="shared" si="2"/>
        <v>4</v>
      </c>
      <c r="P52" s="72">
        <f t="shared" si="65"/>
        <v>48</v>
      </c>
      <c r="Q52" s="72">
        <f t="shared" si="3"/>
        <v>3</v>
      </c>
      <c r="R52" s="92">
        <f t="shared" si="4"/>
        <v>2013</v>
      </c>
      <c r="S52" s="93">
        <f t="shared" si="5"/>
        <v>2</v>
      </c>
      <c r="T52" s="94">
        <f t="shared" si="6"/>
        <v>2017</v>
      </c>
      <c r="U52" s="96">
        <f t="shared" si="66"/>
        <v>78125</v>
      </c>
      <c r="V52" s="73">
        <v>0</v>
      </c>
      <c r="W52" s="73">
        <v>48</v>
      </c>
      <c r="X52" s="96">
        <f t="shared" si="46"/>
        <v>0</v>
      </c>
      <c r="Y52" s="96">
        <v>3750000</v>
      </c>
      <c r="Z52" s="96">
        <f t="shared" si="47"/>
        <v>0</v>
      </c>
      <c r="AA52" s="73">
        <f t="shared" si="48"/>
        <v>0</v>
      </c>
      <c r="AB52" s="73">
        <f t="shared" si="28"/>
        <v>48</v>
      </c>
      <c r="AC52" s="96">
        <f t="shared" si="49"/>
        <v>0</v>
      </c>
      <c r="AD52" s="96">
        <f t="shared" si="29"/>
        <v>3750000</v>
      </c>
      <c r="AE52" s="96">
        <f t="shared" si="50"/>
        <v>0</v>
      </c>
      <c r="AF52" s="73">
        <f t="shared" si="43"/>
        <v>0</v>
      </c>
      <c r="AG52" s="73">
        <f t="shared" si="30"/>
        <v>48</v>
      </c>
      <c r="AH52" s="96">
        <f t="shared" si="31"/>
        <v>0</v>
      </c>
      <c r="AI52" s="96">
        <f t="shared" si="51"/>
        <v>3750000</v>
      </c>
      <c r="AJ52" s="96">
        <f t="shared" si="52"/>
        <v>0</v>
      </c>
      <c r="AK52" s="73">
        <f t="shared" si="32"/>
        <v>0</v>
      </c>
      <c r="AL52" s="73">
        <f t="shared" si="33"/>
        <v>48</v>
      </c>
      <c r="AM52" s="96">
        <f t="shared" si="34"/>
        <v>0</v>
      </c>
      <c r="AN52" s="96">
        <f t="shared" si="35"/>
        <v>3750000</v>
      </c>
      <c r="AO52" s="96">
        <f t="shared" si="36"/>
        <v>0</v>
      </c>
      <c r="AP52" s="73">
        <f t="shared" si="37"/>
        <v>0</v>
      </c>
      <c r="AQ52" s="73">
        <f t="shared" si="38"/>
        <v>48</v>
      </c>
      <c r="AR52" s="96">
        <f t="shared" si="39"/>
        <v>0</v>
      </c>
      <c r="AS52" s="96">
        <f t="shared" si="40"/>
        <v>3750000</v>
      </c>
      <c r="AT52" s="96">
        <f t="shared" si="41"/>
        <v>0</v>
      </c>
      <c r="AU52" s="60"/>
      <c r="AV52" s="202">
        <f t="shared" si="42"/>
        <v>0</v>
      </c>
      <c r="AW52" s="203">
        <f t="shared" si="53"/>
        <v>0</v>
      </c>
      <c r="AX52" s="203">
        <f t="shared" si="54"/>
        <v>0</v>
      </c>
      <c r="AY52" s="203">
        <f t="shared" si="55"/>
        <v>0</v>
      </c>
      <c r="AZ52" s="203">
        <f t="shared" si="56"/>
        <v>0</v>
      </c>
      <c r="BA52" s="203">
        <f t="shared" si="57"/>
        <v>0</v>
      </c>
      <c r="BB52" s="203">
        <f t="shared" si="58"/>
        <v>0</v>
      </c>
      <c r="BC52" s="203">
        <f t="shared" si="59"/>
        <v>0</v>
      </c>
      <c r="BD52" s="203">
        <f t="shared" si="60"/>
        <v>0</v>
      </c>
      <c r="BE52" s="203">
        <f t="shared" si="61"/>
        <v>0</v>
      </c>
      <c r="BF52" s="203">
        <f t="shared" si="62"/>
        <v>0</v>
      </c>
      <c r="BG52" s="203">
        <f t="shared" si="63"/>
        <v>0</v>
      </c>
      <c r="BH52" s="203">
        <f t="shared" si="64"/>
        <v>0</v>
      </c>
    </row>
    <row r="53" spans="2:60" x14ac:dyDescent="0.2">
      <c r="B53" s="68"/>
      <c r="C53" s="89">
        <v>41479</v>
      </c>
      <c r="D53" s="70"/>
      <c r="E53" s="71" t="s">
        <v>153</v>
      </c>
      <c r="F53" s="72"/>
      <c r="G53" s="90">
        <v>0.25</v>
      </c>
      <c r="H53" s="74">
        <v>5480000</v>
      </c>
      <c r="I53" s="74"/>
      <c r="J53" s="74"/>
      <c r="K53" s="74">
        <f t="shared" si="0"/>
        <v>5480000</v>
      </c>
      <c r="L53" s="74"/>
      <c r="M53" s="74"/>
      <c r="N53" s="74">
        <f t="shared" si="1"/>
        <v>5480000</v>
      </c>
      <c r="O53" s="91">
        <f t="shared" si="2"/>
        <v>4</v>
      </c>
      <c r="P53" s="72">
        <f t="shared" si="65"/>
        <v>48</v>
      </c>
      <c r="Q53" s="72">
        <f t="shared" si="3"/>
        <v>7</v>
      </c>
      <c r="R53" s="92">
        <f t="shared" si="4"/>
        <v>2013</v>
      </c>
      <c r="S53" s="93">
        <f t="shared" si="5"/>
        <v>6</v>
      </c>
      <c r="T53" s="94">
        <f t="shared" si="6"/>
        <v>2017</v>
      </c>
      <c r="U53" s="96">
        <f t="shared" si="66"/>
        <v>114166.66666666667</v>
      </c>
      <c r="V53" s="73">
        <v>0</v>
      </c>
      <c r="W53" s="73">
        <v>48</v>
      </c>
      <c r="X53" s="96">
        <f t="shared" si="46"/>
        <v>0</v>
      </c>
      <c r="Y53" s="96">
        <v>5480000</v>
      </c>
      <c r="Z53" s="96">
        <f t="shared" si="47"/>
        <v>0</v>
      </c>
      <c r="AA53" s="73">
        <f t="shared" si="48"/>
        <v>0</v>
      </c>
      <c r="AB53" s="73">
        <f t="shared" si="28"/>
        <v>48</v>
      </c>
      <c r="AC53" s="96">
        <f t="shared" si="49"/>
        <v>0</v>
      </c>
      <c r="AD53" s="96">
        <f t="shared" si="29"/>
        <v>5480000</v>
      </c>
      <c r="AE53" s="96">
        <f t="shared" si="50"/>
        <v>0</v>
      </c>
      <c r="AF53" s="73">
        <f t="shared" si="43"/>
        <v>0</v>
      </c>
      <c r="AG53" s="73">
        <f t="shared" si="30"/>
        <v>48</v>
      </c>
      <c r="AH53" s="96">
        <f t="shared" si="31"/>
        <v>0</v>
      </c>
      <c r="AI53" s="96">
        <f t="shared" si="51"/>
        <v>5480000</v>
      </c>
      <c r="AJ53" s="96">
        <f t="shared" si="52"/>
        <v>0</v>
      </c>
      <c r="AK53" s="73">
        <f t="shared" si="32"/>
        <v>0</v>
      </c>
      <c r="AL53" s="73">
        <f t="shared" si="33"/>
        <v>48</v>
      </c>
      <c r="AM53" s="96">
        <f t="shared" si="34"/>
        <v>0</v>
      </c>
      <c r="AN53" s="96">
        <f t="shared" si="35"/>
        <v>5480000</v>
      </c>
      <c r="AO53" s="96">
        <f t="shared" si="36"/>
        <v>0</v>
      </c>
      <c r="AP53" s="73">
        <f t="shared" si="37"/>
        <v>0</v>
      </c>
      <c r="AQ53" s="73">
        <f t="shared" si="38"/>
        <v>48</v>
      </c>
      <c r="AR53" s="96">
        <f t="shared" si="39"/>
        <v>0</v>
      </c>
      <c r="AS53" s="96">
        <f t="shared" si="40"/>
        <v>5480000</v>
      </c>
      <c r="AT53" s="96">
        <f t="shared" si="41"/>
        <v>0</v>
      </c>
      <c r="AU53" s="60"/>
      <c r="AV53" s="202">
        <f t="shared" si="42"/>
        <v>0</v>
      </c>
      <c r="AW53" s="203">
        <f t="shared" si="53"/>
        <v>0</v>
      </c>
      <c r="AX53" s="203">
        <f t="shared" si="54"/>
        <v>0</v>
      </c>
      <c r="AY53" s="203">
        <f t="shared" si="55"/>
        <v>0</v>
      </c>
      <c r="AZ53" s="203">
        <f t="shared" si="56"/>
        <v>0</v>
      </c>
      <c r="BA53" s="203">
        <f t="shared" si="57"/>
        <v>0</v>
      </c>
      <c r="BB53" s="203">
        <f t="shared" si="58"/>
        <v>0</v>
      </c>
      <c r="BC53" s="203">
        <f t="shared" si="59"/>
        <v>0</v>
      </c>
      <c r="BD53" s="203">
        <f t="shared" si="60"/>
        <v>0</v>
      </c>
      <c r="BE53" s="203">
        <f t="shared" si="61"/>
        <v>0</v>
      </c>
      <c r="BF53" s="203">
        <f t="shared" si="62"/>
        <v>0</v>
      </c>
      <c r="BG53" s="203">
        <f t="shared" si="63"/>
        <v>0</v>
      </c>
      <c r="BH53" s="203">
        <f t="shared" si="64"/>
        <v>0</v>
      </c>
    </row>
    <row r="54" spans="2:60" x14ac:dyDescent="0.2">
      <c r="B54" s="68"/>
      <c r="C54" s="89">
        <v>41521</v>
      </c>
      <c r="D54" s="70"/>
      <c r="E54" s="71" t="s">
        <v>154</v>
      </c>
      <c r="F54" s="72"/>
      <c r="G54" s="90">
        <v>0.25</v>
      </c>
      <c r="H54" s="74">
        <v>8150000</v>
      </c>
      <c r="I54" s="74"/>
      <c r="J54" s="74"/>
      <c r="K54" s="74">
        <f t="shared" si="0"/>
        <v>8150000</v>
      </c>
      <c r="L54" s="74"/>
      <c r="M54" s="74"/>
      <c r="N54" s="74">
        <f t="shared" si="1"/>
        <v>8150000</v>
      </c>
      <c r="O54" s="91">
        <f t="shared" si="2"/>
        <v>4</v>
      </c>
      <c r="P54" s="72">
        <f t="shared" si="65"/>
        <v>48</v>
      </c>
      <c r="Q54" s="72">
        <f t="shared" si="3"/>
        <v>9</v>
      </c>
      <c r="R54" s="92">
        <f t="shared" si="4"/>
        <v>2013</v>
      </c>
      <c r="S54" s="93">
        <f t="shared" si="5"/>
        <v>8</v>
      </c>
      <c r="T54" s="94">
        <f t="shared" si="6"/>
        <v>2017</v>
      </c>
      <c r="U54" s="96">
        <f t="shared" si="66"/>
        <v>169791.66666666666</v>
      </c>
      <c r="V54" s="73">
        <v>0</v>
      </c>
      <c r="W54" s="73">
        <v>48</v>
      </c>
      <c r="X54" s="96">
        <f t="shared" si="46"/>
        <v>0</v>
      </c>
      <c r="Y54" s="96">
        <v>8150000</v>
      </c>
      <c r="Z54" s="96">
        <f t="shared" si="47"/>
        <v>0</v>
      </c>
      <c r="AA54" s="73">
        <f t="shared" si="48"/>
        <v>0</v>
      </c>
      <c r="AB54" s="73">
        <f t="shared" si="28"/>
        <v>48</v>
      </c>
      <c r="AC54" s="96">
        <f t="shared" si="49"/>
        <v>0</v>
      </c>
      <c r="AD54" s="96">
        <f t="shared" si="29"/>
        <v>8150000</v>
      </c>
      <c r="AE54" s="96">
        <f t="shared" si="50"/>
        <v>0</v>
      </c>
      <c r="AF54" s="73">
        <f t="shared" si="43"/>
        <v>0</v>
      </c>
      <c r="AG54" s="73">
        <f t="shared" si="30"/>
        <v>48</v>
      </c>
      <c r="AH54" s="96">
        <f t="shared" si="31"/>
        <v>0</v>
      </c>
      <c r="AI54" s="96">
        <f t="shared" si="51"/>
        <v>8150000</v>
      </c>
      <c r="AJ54" s="96">
        <f t="shared" si="52"/>
        <v>0</v>
      </c>
      <c r="AK54" s="73">
        <f t="shared" si="32"/>
        <v>0</v>
      </c>
      <c r="AL54" s="73">
        <f t="shared" si="33"/>
        <v>48</v>
      </c>
      <c r="AM54" s="96">
        <f t="shared" si="34"/>
        <v>0</v>
      </c>
      <c r="AN54" s="96">
        <f t="shared" si="35"/>
        <v>8150000</v>
      </c>
      <c r="AO54" s="96">
        <f t="shared" si="36"/>
        <v>0</v>
      </c>
      <c r="AP54" s="73">
        <f t="shared" si="37"/>
        <v>0</v>
      </c>
      <c r="AQ54" s="73">
        <f t="shared" si="38"/>
        <v>48</v>
      </c>
      <c r="AR54" s="96">
        <f t="shared" si="39"/>
        <v>0</v>
      </c>
      <c r="AS54" s="96">
        <f t="shared" si="40"/>
        <v>8150000</v>
      </c>
      <c r="AT54" s="96">
        <f t="shared" si="41"/>
        <v>0</v>
      </c>
      <c r="AU54" s="60"/>
      <c r="AV54" s="202">
        <f t="shared" si="42"/>
        <v>0</v>
      </c>
      <c r="AW54" s="203">
        <f t="shared" si="53"/>
        <v>0</v>
      </c>
      <c r="AX54" s="203">
        <f t="shared" si="54"/>
        <v>0</v>
      </c>
      <c r="AY54" s="203">
        <f t="shared" si="55"/>
        <v>0</v>
      </c>
      <c r="AZ54" s="203">
        <f t="shared" si="56"/>
        <v>0</v>
      </c>
      <c r="BA54" s="203">
        <f t="shared" si="57"/>
        <v>0</v>
      </c>
      <c r="BB54" s="203">
        <f t="shared" si="58"/>
        <v>0</v>
      </c>
      <c r="BC54" s="203">
        <f t="shared" si="59"/>
        <v>0</v>
      </c>
      <c r="BD54" s="203">
        <f t="shared" si="60"/>
        <v>0</v>
      </c>
      <c r="BE54" s="203">
        <f t="shared" si="61"/>
        <v>0</v>
      </c>
      <c r="BF54" s="203">
        <f t="shared" si="62"/>
        <v>0</v>
      </c>
      <c r="BG54" s="203">
        <f t="shared" si="63"/>
        <v>0</v>
      </c>
      <c r="BH54" s="203">
        <f t="shared" si="64"/>
        <v>0</v>
      </c>
    </row>
    <row r="55" spans="2:60" x14ac:dyDescent="0.2">
      <c r="B55" s="68"/>
      <c r="C55" s="89">
        <v>41575</v>
      </c>
      <c r="D55" s="70"/>
      <c r="E55" s="71" t="s">
        <v>155</v>
      </c>
      <c r="F55" s="72"/>
      <c r="G55" s="90">
        <v>0.25</v>
      </c>
      <c r="H55" s="74">
        <v>710000</v>
      </c>
      <c r="I55" s="74"/>
      <c r="J55" s="74"/>
      <c r="K55" s="74">
        <f t="shared" si="0"/>
        <v>710000</v>
      </c>
      <c r="L55" s="74"/>
      <c r="M55" s="74"/>
      <c r="N55" s="74">
        <f t="shared" si="1"/>
        <v>710000</v>
      </c>
      <c r="O55" s="91">
        <f t="shared" si="2"/>
        <v>4</v>
      </c>
      <c r="P55" s="72">
        <f t="shared" si="65"/>
        <v>48</v>
      </c>
      <c r="Q55" s="72">
        <f t="shared" si="3"/>
        <v>10</v>
      </c>
      <c r="R55" s="92">
        <f t="shared" si="4"/>
        <v>2013</v>
      </c>
      <c r="S55" s="93">
        <f t="shared" si="5"/>
        <v>9</v>
      </c>
      <c r="T55" s="94">
        <f t="shared" si="6"/>
        <v>2017</v>
      </c>
      <c r="U55" s="96">
        <f t="shared" si="66"/>
        <v>14791.666666666666</v>
      </c>
      <c r="V55" s="73">
        <v>0</v>
      </c>
      <c r="W55" s="73">
        <v>48</v>
      </c>
      <c r="X55" s="96">
        <f t="shared" si="46"/>
        <v>0</v>
      </c>
      <c r="Y55" s="96">
        <v>710000</v>
      </c>
      <c r="Z55" s="96">
        <f t="shared" si="47"/>
        <v>0</v>
      </c>
      <c r="AA55" s="73">
        <f t="shared" si="48"/>
        <v>0</v>
      </c>
      <c r="AB55" s="73">
        <f t="shared" si="28"/>
        <v>48</v>
      </c>
      <c r="AC55" s="96">
        <f t="shared" si="49"/>
        <v>0</v>
      </c>
      <c r="AD55" s="96">
        <f t="shared" si="29"/>
        <v>710000</v>
      </c>
      <c r="AE55" s="96">
        <f t="shared" si="50"/>
        <v>0</v>
      </c>
      <c r="AF55" s="73">
        <f t="shared" si="43"/>
        <v>0</v>
      </c>
      <c r="AG55" s="73">
        <f t="shared" si="30"/>
        <v>48</v>
      </c>
      <c r="AH55" s="96">
        <f t="shared" si="31"/>
        <v>0</v>
      </c>
      <c r="AI55" s="96">
        <f t="shared" si="51"/>
        <v>710000</v>
      </c>
      <c r="AJ55" s="96">
        <f t="shared" si="52"/>
        <v>0</v>
      </c>
      <c r="AK55" s="73">
        <f t="shared" si="32"/>
        <v>0</v>
      </c>
      <c r="AL55" s="73">
        <f t="shared" si="33"/>
        <v>48</v>
      </c>
      <c r="AM55" s="96">
        <f t="shared" si="34"/>
        <v>0</v>
      </c>
      <c r="AN55" s="96">
        <f t="shared" si="35"/>
        <v>710000</v>
      </c>
      <c r="AO55" s="96">
        <f t="shared" si="36"/>
        <v>0</v>
      </c>
      <c r="AP55" s="73">
        <f t="shared" si="37"/>
        <v>0</v>
      </c>
      <c r="AQ55" s="73">
        <f t="shared" si="38"/>
        <v>48</v>
      </c>
      <c r="AR55" s="96">
        <f t="shared" si="39"/>
        <v>0</v>
      </c>
      <c r="AS55" s="96">
        <f t="shared" si="40"/>
        <v>710000</v>
      </c>
      <c r="AT55" s="96">
        <f t="shared" si="41"/>
        <v>0</v>
      </c>
      <c r="AU55" s="60"/>
      <c r="AV55" s="202">
        <f t="shared" si="42"/>
        <v>0</v>
      </c>
      <c r="AW55" s="203">
        <f t="shared" si="53"/>
        <v>0</v>
      </c>
      <c r="AX55" s="203">
        <f t="shared" si="54"/>
        <v>0</v>
      </c>
      <c r="AY55" s="203">
        <f t="shared" si="55"/>
        <v>0</v>
      </c>
      <c r="AZ55" s="203">
        <f t="shared" si="56"/>
        <v>0</v>
      </c>
      <c r="BA55" s="203">
        <f t="shared" si="57"/>
        <v>0</v>
      </c>
      <c r="BB55" s="203">
        <f t="shared" si="58"/>
        <v>0</v>
      </c>
      <c r="BC55" s="203">
        <f t="shared" si="59"/>
        <v>0</v>
      </c>
      <c r="BD55" s="203">
        <f t="shared" si="60"/>
        <v>0</v>
      </c>
      <c r="BE55" s="203">
        <f t="shared" si="61"/>
        <v>0</v>
      </c>
      <c r="BF55" s="203">
        <f t="shared" si="62"/>
        <v>0</v>
      </c>
      <c r="BG55" s="203">
        <f t="shared" si="63"/>
        <v>0</v>
      </c>
      <c r="BH55" s="203">
        <f t="shared" si="64"/>
        <v>0</v>
      </c>
    </row>
    <row r="56" spans="2:60" x14ac:dyDescent="0.2">
      <c r="B56" s="68"/>
      <c r="C56" s="89">
        <v>41592</v>
      </c>
      <c r="D56" s="70"/>
      <c r="E56" s="71" t="s">
        <v>156</v>
      </c>
      <c r="F56" s="72"/>
      <c r="G56" s="90">
        <v>0.25</v>
      </c>
      <c r="H56" s="74">
        <v>910000</v>
      </c>
      <c r="I56" s="74"/>
      <c r="J56" s="74"/>
      <c r="K56" s="74">
        <f t="shared" si="0"/>
        <v>910000</v>
      </c>
      <c r="L56" s="74"/>
      <c r="M56" s="74"/>
      <c r="N56" s="74">
        <f t="shared" si="1"/>
        <v>910000</v>
      </c>
      <c r="O56" s="91">
        <f t="shared" si="2"/>
        <v>4</v>
      </c>
      <c r="P56" s="72">
        <f t="shared" si="65"/>
        <v>48</v>
      </c>
      <c r="Q56" s="72">
        <f t="shared" si="3"/>
        <v>11</v>
      </c>
      <c r="R56" s="92">
        <f t="shared" si="4"/>
        <v>2013</v>
      </c>
      <c r="S56" s="93">
        <f t="shared" si="5"/>
        <v>10</v>
      </c>
      <c r="T56" s="94">
        <f t="shared" si="6"/>
        <v>2017</v>
      </c>
      <c r="U56" s="96">
        <f t="shared" si="66"/>
        <v>18958.333333333332</v>
      </c>
      <c r="V56" s="73">
        <v>0</v>
      </c>
      <c r="W56" s="73">
        <v>48</v>
      </c>
      <c r="X56" s="96">
        <f t="shared" si="46"/>
        <v>0</v>
      </c>
      <c r="Y56" s="96">
        <v>910000</v>
      </c>
      <c r="Z56" s="96">
        <f t="shared" si="47"/>
        <v>0</v>
      </c>
      <c r="AA56" s="73">
        <f t="shared" si="48"/>
        <v>0</v>
      </c>
      <c r="AB56" s="73">
        <f t="shared" si="28"/>
        <v>48</v>
      </c>
      <c r="AC56" s="96">
        <f t="shared" si="49"/>
        <v>0</v>
      </c>
      <c r="AD56" s="96">
        <f t="shared" si="29"/>
        <v>910000</v>
      </c>
      <c r="AE56" s="96">
        <f t="shared" si="50"/>
        <v>0</v>
      </c>
      <c r="AF56" s="73">
        <f t="shared" si="43"/>
        <v>0</v>
      </c>
      <c r="AG56" s="73">
        <f t="shared" si="30"/>
        <v>48</v>
      </c>
      <c r="AH56" s="96">
        <f t="shared" si="31"/>
        <v>0</v>
      </c>
      <c r="AI56" s="96">
        <f t="shared" si="51"/>
        <v>910000</v>
      </c>
      <c r="AJ56" s="96">
        <f t="shared" si="52"/>
        <v>0</v>
      </c>
      <c r="AK56" s="73">
        <f t="shared" si="32"/>
        <v>0</v>
      </c>
      <c r="AL56" s="73">
        <f t="shared" si="33"/>
        <v>48</v>
      </c>
      <c r="AM56" s="96">
        <f t="shared" si="34"/>
        <v>0</v>
      </c>
      <c r="AN56" s="96">
        <f t="shared" si="35"/>
        <v>910000</v>
      </c>
      <c r="AO56" s="96">
        <f t="shared" si="36"/>
        <v>0</v>
      </c>
      <c r="AP56" s="73">
        <f t="shared" si="37"/>
        <v>0</v>
      </c>
      <c r="AQ56" s="73">
        <f t="shared" si="38"/>
        <v>48</v>
      </c>
      <c r="AR56" s="96">
        <f t="shared" si="39"/>
        <v>0</v>
      </c>
      <c r="AS56" s="96">
        <f t="shared" si="40"/>
        <v>910000</v>
      </c>
      <c r="AT56" s="96">
        <f t="shared" si="41"/>
        <v>0</v>
      </c>
      <c r="AU56" s="60"/>
      <c r="AV56" s="202">
        <f t="shared" si="42"/>
        <v>0</v>
      </c>
      <c r="AW56" s="203">
        <f t="shared" si="53"/>
        <v>0</v>
      </c>
      <c r="AX56" s="203">
        <f t="shared" si="54"/>
        <v>0</v>
      </c>
      <c r="AY56" s="203">
        <f t="shared" si="55"/>
        <v>0</v>
      </c>
      <c r="AZ56" s="203">
        <f t="shared" si="56"/>
        <v>0</v>
      </c>
      <c r="BA56" s="203">
        <f t="shared" si="57"/>
        <v>0</v>
      </c>
      <c r="BB56" s="203">
        <f t="shared" si="58"/>
        <v>0</v>
      </c>
      <c r="BC56" s="203">
        <f t="shared" si="59"/>
        <v>0</v>
      </c>
      <c r="BD56" s="203">
        <f t="shared" si="60"/>
        <v>0</v>
      </c>
      <c r="BE56" s="203">
        <f t="shared" si="61"/>
        <v>0</v>
      </c>
      <c r="BF56" s="203">
        <f t="shared" si="62"/>
        <v>0</v>
      </c>
      <c r="BG56" s="203">
        <f t="shared" si="63"/>
        <v>0</v>
      </c>
      <c r="BH56" s="203">
        <f t="shared" si="64"/>
        <v>0</v>
      </c>
    </row>
    <row r="57" spans="2:60" x14ac:dyDescent="0.2">
      <c r="B57" s="68"/>
      <c r="C57" s="89">
        <v>41723</v>
      </c>
      <c r="D57" s="70"/>
      <c r="E57" s="71" t="s">
        <v>157</v>
      </c>
      <c r="F57" s="72"/>
      <c r="G57" s="90">
        <v>0.25</v>
      </c>
      <c r="H57" s="74">
        <v>800000</v>
      </c>
      <c r="I57" s="74"/>
      <c r="J57" s="74"/>
      <c r="K57" s="74">
        <f t="shared" si="0"/>
        <v>800000</v>
      </c>
      <c r="L57" s="74"/>
      <c r="M57" s="74"/>
      <c r="N57" s="74">
        <f t="shared" si="1"/>
        <v>800000</v>
      </c>
      <c r="O57" s="91">
        <f t="shared" si="2"/>
        <v>4</v>
      </c>
      <c r="P57" s="72">
        <f t="shared" si="65"/>
        <v>48</v>
      </c>
      <c r="Q57" s="72">
        <f t="shared" si="3"/>
        <v>3</v>
      </c>
      <c r="R57" s="92">
        <f t="shared" si="4"/>
        <v>2014</v>
      </c>
      <c r="S57" s="93">
        <f t="shared" si="5"/>
        <v>2</v>
      </c>
      <c r="T57" s="94">
        <f t="shared" si="6"/>
        <v>2018</v>
      </c>
      <c r="U57" s="96">
        <f t="shared" si="66"/>
        <v>16666.666666666668</v>
      </c>
      <c r="V57" s="73">
        <v>0</v>
      </c>
      <c r="W57" s="73">
        <v>48</v>
      </c>
      <c r="X57" s="96">
        <f t="shared" si="46"/>
        <v>0</v>
      </c>
      <c r="Y57" s="96">
        <v>800000.00000000012</v>
      </c>
      <c r="Z57" s="96">
        <f t="shared" si="47"/>
        <v>0</v>
      </c>
      <c r="AA57" s="73">
        <f t="shared" si="48"/>
        <v>0</v>
      </c>
      <c r="AB57" s="73">
        <f t="shared" si="28"/>
        <v>48</v>
      </c>
      <c r="AC57" s="96">
        <f t="shared" si="49"/>
        <v>0</v>
      </c>
      <c r="AD57" s="96">
        <f t="shared" si="29"/>
        <v>800000.00000000012</v>
      </c>
      <c r="AE57" s="96">
        <f t="shared" si="50"/>
        <v>0</v>
      </c>
      <c r="AF57" s="73">
        <f t="shared" si="43"/>
        <v>0</v>
      </c>
      <c r="AG57" s="73">
        <f t="shared" si="30"/>
        <v>48</v>
      </c>
      <c r="AH57" s="96">
        <f t="shared" si="31"/>
        <v>0</v>
      </c>
      <c r="AI57" s="96">
        <f t="shared" si="51"/>
        <v>800000.00000000012</v>
      </c>
      <c r="AJ57" s="96">
        <f t="shared" si="52"/>
        <v>0</v>
      </c>
      <c r="AK57" s="73">
        <f t="shared" si="32"/>
        <v>0</v>
      </c>
      <c r="AL57" s="73">
        <f t="shared" si="33"/>
        <v>48</v>
      </c>
      <c r="AM57" s="96">
        <f t="shared" si="34"/>
        <v>0</v>
      </c>
      <c r="AN57" s="96">
        <f t="shared" si="35"/>
        <v>800000.00000000012</v>
      </c>
      <c r="AO57" s="96">
        <f t="shared" si="36"/>
        <v>0</v>
      </c>
      <c r="AP57" s="73">
        <f t="shared" si="37"/>
        <v>0</v>
      </c>
      <c r="AQ57" s="73">
        <f t="shared" si="38"/>
        <v>48</v>
      </c>
      <c r="AR57" s="96">
        <f t="shared" si="39"/>
        <v>0</v>
      </c>
      <c r="AS57" s="96">
        <f t="shared" si="40"/>
        <v>800000.00000000012</v>
      </c>
      <c r="AT57" s="96">
        <f t="shared" si="41"/>
        <v>0</v>
      </c>
      <c r="AU57" s="60"/>
      <c r="AV57" s="202">
        <f t="shared" si="42"/>
        <v>0</v>
      </c>
      <c r="AW57" s="203">
        <f t="shared" si="53"/>
        <v>0</v>
      </c>
      <c r="AX57" s="203">
        <f t="shared" si="54"/>
        <v>0</v>
      </c>
      <c r="AY57" s="203">
        <f t="shared" si="55"/>
        <v>0</v>
      </c>
      <c r="AZ57" s="203">
        <f t="shared" si="56"/>
        <v>0</v>
      </c>
      <c r="BA57" s="203">
        <f t="shared" si="57"/>
        <v>0</v>
      </c>
      <c r="BB57" s="203">
        <f t="shared" si="58"/>
        <v>0</v>
      </c>
      <c r="BC57" s="203">
        <f t="shared" si="59"/>
        <v>0</v>
      </c>
      <c r="BD57" s="203">
        <f t="shared" si="60"/>
        <v>0</v>
      </c>
      <c r="BE57" s="203">
        <f t="shared" si="61"/>
        <v>0</v>
      </c>
      <c r="BF57" s="203">
        <f t="shared" si="62"/>
        <v>0</v>
      </c>
      <c r="BG57" s="203">
        <f t="shared" si="63"/>
        <v>0</v>
      </c>
      <c r="BH57" s="203">
        <f t="shared" si="64"/>
        <v>0</v>
      </c>
    </row>
    <row r="58" spans="2:60" x14ac:dyDescent="0.2">
      <c r="B58" s="68"/>
      <c r="C58" s="89">
        <v>41766</v>
      </c>
      <c r="D58" s="70"/>
      <c r="E58" s="71" t="s">
        <v>158</v>
      </c>
      <c r="F58" s="72"/>
      <c r="G58" s="90">
        <v>0.25</v>
      </c>
      <c r="H58" s="74">
        <v>8750000</v>
      </c>
      <c r="I58" s="74"/>
      <c r="J58" s="74"/>
      <c r="K58" s="74">
        <f t="shared" si="0"/>
        <v>8750000</v>
      </c>
      <c r="L58" s="74"/>
      <c r="M58" s="74"/>
      <c r="N58" s="74">
        <f t="shared" si="1"/>
        <v>8750000</v>
      </c>
      <c r="O58" s="91">
        <f t="shared" si="2"/>
        <v>4</v>
      </c>
      <c r="P58" s="72">
        <f t="shared" si="65"/>
        <v>48</v>
      </c>
      <c r="Q58" s="72">
        <f t="shared" si="3"/>
        <v>5</v>
      </c>
      <c r="R58" s="92">
        <f t="shared" si="4"/>
        <v>2014</v>
      </c>
      <c r="S58" s="93">
        <f t="shared" si="5"/>
        <v>4</v>
      </c>
      <c r="T58" s="94">
        <f t="shared" si="6"/>
        <v>2018</v>
      </c>
      <c r="U58" s="96">
        <f t="shared" si="66"/>
        <v>182291.66666666666</v>
      </c>
      <c r="V58" s="73">
        <v>0</v>
      </c>
      <c r="W58" s="73">
        <v>48</v>
      </c>
      <c r="X58" s="96">
        <f t="shared" si="46"/>
        <v>0</v>
      </c>
      <c r="Y58" s="96">
        <v>8750000</v>
      </c>
      <c r="Z58" s="96">
        <f t="shared" si="47"/>
        <v>0</v>
      </c>
      <c r="AA58" s="73">
        <f t="shared" si="48"/>
        <v>0</v>
      </c>
      <c r="AB58" s="73">
        <f t="shared" si="28"/>
        <v>48</v>
      </c>
      <c r="AC58" s="96">
        <f t="shared" si="49"/>
        <v>0</v>
      </c>
      <c r="AD58" s="96">
        <f t="shared" si="29"/>
        <v>8750000</v>
      </c>
      <c r="AE58" s="96">
        <f t="shared" si="50"/>
        <v>0</v>
      </c>
      <c r="AF58" s="73">
        <f t="shared" si="43"/>
        <v>0</v>
      </c>
      <c r="AG58" s="73">
        <f t="shared" si="30"/>
        <v>48</v>
      </c>
      <c r="AH58" s="96">
        <f t="shared" si="31"/>
        <v>0</v>
      </c>
      <c r="AI58" s="96">
        <f t="shared" si="51"/>
        <v>8750000</v>
      </c>
      <c r="AJ58" s="96">
        <f t="shared" si="52"/>
        <v>0</v>
      </c>
      <c r="AK58" s="73">
        <f t="shared" si="32"/>
        <v>0</v>
      </c>
      <c r="AL58" s="73">
        <f t="shared" si="33"/>
        <v>48</v>
      </c>
      <c r="AM58" s="96">
        <f t="shared" si="34"/>
        <v>0</v>
      </c>
      <c r="AN58" s="96">
        <f t="shared" si="35"/>
        <v>8750000</v>
      </c>
      <c r="AO58" s="96">
        <f t="shared" si="36"/>
        <v>0</v>
      </c>
      <c r="AP58" s="73">
        <f t="shared" si="37"/>
        <v>0</v>
      </c>
      <c r="AQ58" s="73">
        <f t="shared" si="38"/>
        <v>48</v>
      </c>
      <c r="AR58" s="96">
        <f t="shared" si="39"/>
        <v>0</v>
      </c>
      <c r="AS58" s="96">
        <f t="shared" si="40"/>
        <v>8750000</v>
      </c>
      <c r="AT58" s="96">
        <f t="shared" si="41"/>
        <v>0</v>
      </c>
      <c r="AU58" s="60"/>
      <c r="AV58" s="202">
        <f t="shared" si="42"/>
        <v>0</v>
      </c>
      <c r="AW58" s="203">
        <f t="shared" si="53"/>
        <v>0</v>
      </c>
      <c r="AX58" s="203">
        <f t="shared" si="54"/>
        <v>0</v>
      </c>
      <c r="AY58" s="203">
        <f t="shared" si="55"/>
        <v>0</v>
      </c>
      <c r="AZ58" s="203">
        <f t="shared" si="56"/>
        <v>0</v>
      </c>
      <c r="BA58" s="203">
        <f t="shared" si="57"/>
        <v>0</v>
      </c>
      <c r="BB58" s="203">
        <f t="shared" si="58"/>
        <v>0</v>
      </c>
      <c r="BC58" s="203">
        <f t="shared" si="59"/>
        <v>0</v>
      </c>
      <c r="BD58" s="203">
        <f t="shared" si="60"/>
        <v>0</v>
      </c>
      <c r="BE58" s="203">
        <f t="shared" si="61"/>
        <v>0</v>
      </c>
      <c r="BF58" s="203">
        <f t="shared" si="62"/>
        <v>0</v>
      </c>
      <c r="BG58" s="203">
        <f t="shared" si="63"/>
        <v>0</v>
      </c>
      <c r="BH58" s="203">
        <f t="shared" si="64"/>
        <v>0</v>
      </c>
    </row>
    <row r="59" spans="2:60" x14ac:dyDescent="0.2">
      <c r="B59" s="68"/>
      <c r="C59" s="89">
        <v>41780</v>
      </c>
      <c r="D59" s="70"/>
      <c r="E59" s="71" t="s">
        <v>159</v>
      </c>
      <c r="F59" s="72"/>
      <c r="G59" s="90">
        <v>0.25</v>
      </c>
      <c r="H59" s="74">
        <v>3500000</v>
      </c>
      <c r="I59" s="74"/>
      <c r="J59" s="74"/>
      <c r="K59" s="74">
        <f t="shared" si="0"/>
        <v>3500000</v>
      </c>
      <c r="L59" s="74"/>
      <c r="M59" s="74"/>
      <c r="N59" s="74">
        <f t="shared" si="1"/>
        <v>3500000</v>
      </c>
      <c r="O59" s="91">
        <f t="shared" si="2"/>
        <v>4</v>
      </c>
      <c r="P59" s="72">
        <f t="shared" si="65"/>
        <v>48</v>
      </c>
      <c r="Q59" s="72">
        <f t="shared" si="3"/>
        <v>5</v>
      </c>
      <c r="R59" s="92">
        <f t="shared" si="4"/>
        <v>2014</v>
      </c>
      <c r="S59" s="93">
        <f t="shared" si="5"/>
        <v>4</v>
      </c>
      <c r="T59" s="94">
        <f t="shared" si="6"/>
        <v>2018</v>
      </c>
      <c r="U59" s="96">
        <f t="shared" si="66"/>
        <v>72916.666666666672</v>
      </c>
      <c r="V59" s="73">
        <v>0</v>
      </c>
      <c r="W59" s="73">
        <v>48</v>
      </c>
      <c r="X59" s="96">
        <f t="shared" si="46"/>
        <v>0</v>
      </c>
      <c r="Y59" s="96">
        <v>3500000</v>
      </c>
      <c r="Z59" s="96">
        <f t="shared" si="47"/>
        <v>0</v>
      </c>
      <c r="AA59" s="73">
        <f t="shared" si="48"/>
        <v>0</v>
      </c>
      <c r="AB59" s="73">
        <f t="shared" si="28"/>
        <v>48</v>
      </c>
      <c r="AC59" s="96">
        <f t="shared" si="49"/>
        <v>0</v>
      </c>
      <c r="AD59" s="96">
        <f t="shared" si="29"/>
        <v>3500000</v>
      </c>
      <c r="AE59" s="96">
        <f t="shared" si="50"/>
        <v>0</v>
      </c>
      <c r="AF59" s="73">
        <f t="shared" si="43"/>
        <v>0</v>
      </c>
      <c r="AG59" s="73">
        <f t="shared" si="30"/>
        <v>48</v>
      </c>
      <c r="AH59" s="96">
        <f t="shared" si="31"/>
        <v>0</v>
      </c>
      <c r="AI59" s="96">
        <f t="shared" si="51"/>
        <v>3500000</v>
      </c>
      <c r="AJ59" s="96">
        <f t="shared" si="52"/>
        <v>0</v>
      </c>
      <c r="AK59" s="73">
        <f t="shared" si="32"/>
        <v>0</v>
      </c>
      <c r="AL59" s="73">
        <f t="shared" si="33"/>
        <v>48</v>
      </c>
      <c r="AM59" s="96">
        <f t="shared" si="34"/>
        <v>0</v>
      </c>
      <c r="AN59" s="96">
        <f t="shared" si="35"/>
        <v>3500000</v>
      </c>
      <c r="AO59" s="96">
        <f t="shared" si="36"/>
        <v>0</v>
      </c>
      <c r="AP59" s="73">
        <f t="shared" si="37"/>
        <v>0</v>
      </c>
      <c r="AQ59" s="73">
        <f t="shared" si="38"/>
        <v>48</v>
      </c>
      <c r="AR59" s="96">
        <f t="shared" si="39"/>
        <v>0</v>
      </c>
      <c r="AS59" s="96">
        <f t="shared" si="40"/>
        <v>3500000</v>
      </c>
      <c r="AT59" s="96">
        <f t="shared" si="41"/>
        <v>0</v>
      </c>
      <c r="AU59" s="60"/>
      <c r="AV59" s="202">
        <f t="shared" si="42"/>
        <v>0</v>
      </c>
      <c r="AW59" s="203">
        <f t="shared" si="53"/>
        <v>0</v>
      </c>
      <c r="AX59" s="203">
        <f t="shared" si="54"/>
        <v>0</v>
      </c>
      <c r="AY59" s="203">
        <f t="shared" si="55"/>
        <v>0</v>
      </c>
      <c r="AZ59" s="203">
        <f t="shared" si="56"/>
        <v>0</v>
      </c>
      <c r="BA59" s="203">
        <f t="shared" si="57"/>
        <v>0</v>
      </c>
      <c r="BB59" s="203">
        <f t="shared" si="58"/>
        <v>0</v>
      </c>
      <c r="BC59" s="203">
        <f t="shared" si="59"/>
        <v>0</v>
      </c>
      <c r="BD59" s="203">
        <f t="shared" si="60"/>
        <v>0</v>
      </c>
      <c r="BE59" s="203">
        <f t="shared" si="61"/>
        <v>0</v>
      </c>
      <c r="BF59" s="203">
        <f t="shared" si="62"/>
        <v>0</v>
      </c>
      <c r="BG59" s="203">
        <f t="shared" si="63"/>
        <v>0</v>
      </c>
      <c r="BH59" s="203">
        <f t="shared" si="64"/>
        <v>0</v>
      </c>
    </row>
    <row r="60" spans="2:60" x14ac:dyDescent="0.2">
      <c r="B60" s="68"/>
      <c r="C60" s="89">
        <v>41817</v>
      </c>
      <c r="D60" s="70"/>
      <c r="E60" s="71" t="s">
        <v>160</v>
      </c>
      <c r="F60" s="72"/>
      <c r="G60" s="90">
        <v>0.25</v>
      </c>
      <c r="H60" s="74">
        <v>18900000</v>
      </c>
      <c r="I60" s="74"/>
      <c r="J60" s="74"/>
      <c r="K60" s="74">
        <f t="shared" si="0"/>
        <v>18900000</v>
      </c>
      <c r="L60" s="74"/>
      <c r="M60" s="74"/>
      <c r="N60" s="74">
        <f t="shared" si="1"/>
        <v>18900000</v>
      </c>
      <c r="O60" s="91">
        <f t="shared" si="2"/>
        <v>4</v>
      </c>
      <c r="P60" s="72">
        <f t="shared" si="65"/>
        <v>48</v>
      </c>
      <c r="Q60" s="72">
        <f t="shared" si="3"/>
        <v>6</v>
      </c>
      <c r="R60" s="92">
        <f t="shared" si="4"/>
        <v>2014</v>
      </c>
      <c r="S60" s="93">
        <f t="shared" si="5"/>
        <v>5</v>
      </c>
      <c r="T60" s="94">
        <f t="shared" si="6"/>
        <v>2018</v>
      </c>
      <c r="U60" s="96">
        <f t="shared" si="66"/>
        <v>393750</v>
      </c>
      <c r="V60" s="73">
        <v>0</v>
      </c>
      <c r="W60" s="73">
        <v>48</v>
      </c>
      <c r="X60" s="96">
        <f t="shared" si="46"/>
        <v>0</v>
      </c>
      <c r="Y60" s="96">
        <v>18900000</v>
      </c>
      <c r="Z60" s="96">
        <f t="shared" si="47"/>
        <v>0</v>
      </c>
      <c r="AA60" s="73">
        <f t="shared" si="48"/>
        <v>0</v>
      </c>
      <c r="AB60" s="73">
        <f t="shared" si="28"/>
        <v>48</v>
      </c>
      <c r="AC60" s="96">
        <f t="shared" si="49"/>
        <v>0</v>
      </c>
      <c r="AD60" s="96">
        <f t="shared" si="29"/>
        <v>18900000</v>
      </c>
      <c r="AE60" s="96">
        <f t="shared" si="50"/>
        <v>0</v>
      </c>
      <c r="AF60" s="73">
        <f t="shared" si="43"/>
        <v>0</v>
      </c>
      <c r="AG60" s="73">
        <f t="shared" si="30"/>
        <v>48</v>
      </c>
      <c r="AH60" s="96">
        <f t="shared" si="31"/>
        <v>0</v>
      </c>
      <c r="AI60" s="96">
        <f t="shared" si="51"/>
        <v>18900000</v>
      </c>
      <c r="AJ60" s="96">
        <f t="shared" si="52"/>
        <v>0</v>
      </c>
      <c r="AK60" s="73">
        <f t="shared" si="32"/>
        <v>0</v>
      </c>
      <c r="AL60" s="73">
        <f t="shared" si="33"/>
        <v>48</v>
      </c>
      <c r="AM60" s="96">
        <f t="shared" si="34"/>
        <v>0</v>
      </c>
      <c r="AN60" s="96">
        <f t="shared" si="35"/>
        <v>18900000</v>
      </c>
      <c r="AO60" s="96">
        <f t="shared" si="36"/>
        <v>0</v>
      </c>
      <c r="AP60" s="73">
        <f t="shared" si="37"/>
        <v>0</v>
      </c>
      <c r="AQ60" s="73">
        <f t="shared" si="38"/>
        <v>48</v>
      </c>
      <c r="AR60" s="96">
        <f t="shared" si="39"/>
        <v>0</v>
      </c>
      <c r="AS60" s="96">
        <f t="shared" si="40"/>
        <v>18900000</v>
      </c>
      <c r="AT60" s="96">
        <f t="shared" si="41"/>
        <v>0</v>
      </c>
      <c r="AU60" s="60"/>
      <c r="AV60" s="202">
        <f t="shared" si="42"/>
        <v>0</v>
      </c>
      <c r="AW60" s="203">
        <f t="shared" si="53"/>
        <v>0</v>
      </c>
      <c r="AX60" s="203">
        <f t="shared" si="54"/>
        <v>0</v>
      </c>
      <c r="AY60" s="203">
        <f t="shared" si="55"/>
        <v>0</v>
      </c>
      <c r="AZ60" s="203">
        <f t="shared" si="56"/>
        <v>0</v>
      </c>
      <c r="BA60" s="203">
        <f t="shared" si="57"/>
        <v>0</v>
      </c>
      <c r="BB60" s="203">
        <f t="shared" si="58"/>
        <v>0</v>
      </c>
      <c r="BC60" s="203">
        <f t="shared" si="59"/>
        <v>0</v>
      </c>
      <c r="BD60" s="203">
        <f t="shared" si="60"/>
        <v>0</v>
      </c>
      <c r="BE60" s="203">
        <f t="shared" si="61"/>
        <v>0</v>
      </c>
      <c r="BF60" s="203">
        <f t="shared" si="62"/>
        <v>0</v>
      </c>
      <c r="BG60" s="203">
        <f t="shared" si="63"/>
        <v>0</v>
      </c>
      <c r="BH60" s="203">
        <f t="shared" si="64"/>
        <v>0</v>
      </c>
    </row>
    <row r="61" spans="2:60" x14ac:dyDescent="0.2">
      <c r="B61" s="68"/>
      <c r="C61" s="89">
        <v>41817</v>
      </c>
      <c r="D61" s="70"/>
      <c r="E61" s="71" t="s">
        <v>161</v>
      </c>
      <c r="F61" s="72"/>
      <c r="G61" s="90">
        <v>0.25</v>
      </c>
      <c r="H61" s="74">
        <v>5900000</v>
      </c>
      <c r="I61" s="74"/>
      <c r="J61" s="74"/>
      <c r="K61" s="74">
        <f t="shared" si="0"/>
        <v>5900000</v>
      </c>
      <c r="L61" s="74"/>
      <c r="M61" s="74"/>
      <c r="N61" s="74">
        <f t="shared" si="1"/>
        <v>5900000</v>
      </c>
      <c r="O61" s="91">
        <f t="shared" si="2"/>
        <v>4</v>
      </c>
      <c r="P61" s="72">
        <f t="shared" si="65"/>
        <v>48</v>
      </c>
      <c r="Q61" s="72">
        <f t="shared" si="3"/>
        <v>6</v>
      </c>
      <c r="R61" s="92">
        <f t="shared" si="4"/>
        <v>2014</v>
      </c>
      <c r="S61" s="93">
        <f t="shared" si="5"/>
        <v>5</v>
      </c>
      <c r="T61" s="94">
        <f t="shared" si="6"/>
        <v>2018</v>
      </c>
      <c r="U61" s="96">
        <f t="shared" si="66"/>
        <v>122916.66666666667</v>
      </c>
      <c r="V61" s="73">
        <v>0</v>
      </c>
      <c r="W61" s="73">
        <v>48</v>
      </c>
      <c r="X61" s="96">
        <f t="shared" si="46"/>
        <v>0</v>
      </c>
      <c r="Y61" s="96">
        <v>5900000</v>
      </c>
      <c r="Z61" s="96">
        <f t="shared" si="47"/>
        <v>0</v>
      </c>
      <c r="AA61" s="73">
        <f t="shared" si="48"/>
        <v>0</v>
      </c>
      <c r="AB61" s="73">
        <f t="shared" si="28"/>
        <v>48</v>
      </c>
      <c r="AC61" s="96">
        <f t="shared" si="49"/>
        <v>0</v>
      </c>
      <c r="AD61" s="96">
        <f t="shared" si="29"/>
        <v>5900000</v>
      </c>
      <c r="AE61" s="96">
        <f t="shared" si="50"/>
        <v>0</v>
      </c>
      <c r="AF61" s="73">
        <f t="shared" si="43"/>
        <v>0</v>
      </c>
      <c r="AG61" s="73">
        <f t="shared" si="30"/>
        <v>48</v>
      </c>
      <c r="AH61" s="96">
        <f t="shared" si="31"/>
        <v>0</v>
      </c>
      <c r="AI61" s="96">
        <f t="shared" si="51"/>
        <v>5900000</v>
      </c>
      <c r="AJ61" s="96">
        <f t="shared" si="52"/>
        <v>0</v>
      </c>
      <c r="AK61" s="73">
        <f t="shared" si="32"/>
        <v>0</v>
      </c>
      <c r="AL61" s="73">
        <f t="shared" si="33"/>
        <v>48</v>
      </c>
      <c r="AM61" s="96">
        <f t="shared" si="34"/>
        <v>0</v>
      </c>
      <c r="AN61" s="96">
        <f t="shared" si="35"/>
        <v>5900000</v>
      </c>
      <c r="AO61" s="96">
        <f t="shared" si="36"/>
        <v>0</v>
      </c>
      <c r="AP61" s="73">
        <f t="shared" si="37"/>
        <v>0</v>
      </c>
      <c r="AQ61" s="73">
        <f t="shared" si="38"/>
        <v>48</v>
      </c>
      <c r="AR61" s="96">
        <f t="shared" si="39"/>
        <v>0</v>
      </c>
      <c r="AS61" s="96">
        <f t="shared" si="40"/>
        <v>5900000</v>
      </c>
      <c r="AT61" s="96">
        <f t="shared" si="41"/>
        <v>0</v>
      </c>
      <c r="AU61" s="60"/>
      <c r="AV61" s="202">
        <f t="shared" si="42"/>
        <v>0</v>
      </c>
      <c r="AW61" s="203">
        <f t="shared" si="53"/>
        <v>0</v>
      </c>
      <c r="AX61" s="203">
        <f t="shared" si="54"/>
        <v>0</v>
      </c>
      <c r="AY61" s="203">
        <f t="shared" si="55"/>
        <v>0</v>
      </c>
      <c r="AZ61" s="203">
        <f t="shared" si="56"/>
        <v>0</v>
      </c>
      <c r="BA61" s="203">
        <f t="shared" si="57"/>
        <v>0</v>
      </c>
      <c r="BB61" s="203">
        <f t="shared" si="58"/>
        <v>0</v>
      </c>
      <c r="BC61" s="203">
        <f t="shared" si="59"/>
        <v>0</v>
      </c>
      <c r="BD61" s="203">
        <f t="shared" si="60"/>
        <v>0</v>
      </c>
      <c r="BE61" s="203">
        <f t="shared" si="61"/>
        <v>0</v>
      </c>
      <c r="BF61" s="203">
        <f t="shared" si="62"/>
        <v>0</v>
      </c>
      <c r="BG61" s="203">
        <f t="shared" si="63"/>
        <v>0</v>
      </c>
      <c r="BH61" s="203">
        <f t="shared" si="64"/>
        <v>0</v>
      </c>
    </row>
    <row r="62" spans="2:60" x14ac:dyDescent="0.2">
      <c r="B62" s="68"/>
      <c r="C62" s="89">
        <v>41832</v>
      </c>
      <c r="D62" s="70"/>
      <c r="E62" s="71" t="s">
        <v>162</v>
      </c>
      <c r="F62" s="72"/>
      <c r="G62" s="90">
        <v>0.25</v>
      </c>
      <c r="H62" s="74">
        <v>18954660</v>
      </c>
      <c r="I62" s="74"/>
      <c r="J62" s="74"/>
      <c r="K62" s="74">
        <f t="shared" si="0"/>
        <v>18954660</v>
      </c>
      <c r="L62" s="74"/>
      <c r="M62" s="74"/>
      <c r="N62" s="74">
        <f t="shared" si="1"/>
        <v>18954660</v>
      </c>
      <c r="O62" s="91">
        <f t="shared" si="2"/>
        <v>4</v>
      </c>
      <c r="P62" s="72">
        <f>O62*12</f>
        <v>48</v>
      </c>
      <c r="Q62" s="72">
        <f t="shared" si="3"/>
        <v>7</v>
      </c>
      <c r="R62" s="92">
        <f t="shared" si="4"/>
        <v>2014</v>
      </c>
      <c r="S62" s="93">
        <f t="shared" si="5"/>
        <v>6</v>
      </c>
      <c r="T62" s="94">
        <f t="shared" si="6"/>
        <v>2018</v>
      </c>
      <c r="U62" s="96">
        <f>K62/P62</f>
        <v>394888.75</v>
      </c>
      <c r="V62" s="73">
        <v>0</v>
      </c>
      <c r="W62" s="73">
        <v>48</v>
      </c>
      <c r="X62" s="96">
        <f t="shared" si="46"/>
        <v>0</v>
      </c>
      <c r="Y62" s="96">
        <v>18954660</v>
      </c>
      <c r="Z62" s="96">
        <f t="shared" si="47"/>
        <v>0</v>
      </c>
      <c r="AA62" s="73">
        <f t="shared" si="48"/>
        <v>0</v>
      </c>
      <c r="AB62" s="73">
        <f t="shared" si="28"/>
        <v>48</v>
      </c>
      <c r="AC62" s="96">
        <f t="shared" si="49"/>
        <v>0</v>
      </c>
      <c r="AD62" s="96">
        <f t="shared" si="29"/>
        <v>18954660</v>
      </c>
      <c r="AE62" s="96">
        <f t="shared" si="50"/>
        <v>0</v>
      </c>
      <c r="AF62" s="73">
        <f t="shared" si="43"/>
        <v>0</v>
      </c>
      <c r="AG62" s="73">
        <f t="shared" si="30"/>
        <v>48</v>
      </c>
      <c r="AH62" s="96">
        <f t="shared" si="31"/>
        <v>0</v>
      </c>
      <c r="AI62" s="96">
        <f t="shared" si="51"/>
        <v>18954660</v>
      </c>
      <c r="AJ62" s="96">
        <f t="shared" si="52"/>
        <v>0</v>
      </c>
      <c r="AK62" s="73">
        <f t="shared" si="32"/>
        <v>0</v>
      </c>
      <c r="AL62" s="73">
        <f t="shared" si="33"/>
        <v>48</v>
      </c>
      <c r="AM62" s="96">
        <f t="shared" si="34"/>
        <v>0</v>
      </c>
      <c r="AN62" s="96">
        <f t="shared" si="35"/>
        <v>18954660</v>
      </c>
      <c r="AO62" s="96">
        <f t="shared" si="36"/>
        <v>0</v>
      </c>
      <c r="AP62" s="73">
        <f t="shared" si="37"/>
        <v>0</v>
      </c>
      <c r="AQ62" s="73">
        <f t="shared" si="38"/>
        <v>48</v>
      </c>
      <c r="AR62" s="96">
        <f t="shared" si="39"/>
        <v>0</v>
      </c>
      <c r="AS62" s="96">
        <f t="shared" si="40"/>
        <v>18954660</v>
      </c>
      <c r="AT62" s="96">
        <f t="shared" si="41"/>
        <v>0</v>
      </c>
      <c r="AU62" s="60"/>
      <c r="AV62" s="202">
        <f t="shared" si="42"/>
        <v>0</v>
      </c>
      <c r="AW62" s="203">
        <f t="shared" si="53"/>
        <v>0</v>
      </c>
      <c r="AX62" s="203">
        <f t="shared" si="54"/>
        <v>0</v>
      </c>
      <c r="AY62" s="203">
        <f t="shared" si="55"/>
        <v>0</v>
      </c>
      <c r="AZ62" s="203">
        <f t="shared" si="56"/>
        <v>0</v>
      </c>
      <c r="BA62" s="203">
        <f t="shared" si="57"/>
        <v>0</v>
      </c>
      <c r="BB62" s="203">
        <f t="shared" si="58"/>
        <v>0</v>
      </c>
      <c r="BC62" s="203">
        <f t="shared" si="59"/>
        <v>0</v>
      </c>
      <c r="BD62" s="203">
        <f t="shared" si="60"/>
        <v>0</v>
      </c>
      <c r="BE62" s="203">
        <f t="shared" si="61"/>
        <v>0</v>
      </c>
      <c r="BF62" s="203">
        <f t="shared" si="62"/>
        <v>0</v>
      </c>
      <c r="BG62" s="203">
        <f t="shared" si="63"/>
        <v>0</v>
      </c>
      <c r="BH62" s="203">
        <f t="shared" si="64"/>
        <v>0</v>
      </c>
    </row>
    <row r="63" spans="2:60" x14ac:dyDescent="0.2">
      <c r="B63" s="68"/>
      <c r="C63" s="89">
        <v>41858</v>
      </c>
      <c r="D63" s="70"/>
      <c r="E63" s="71" t="s">
        <v>163</v>
      </c>
      <c r="F63" s="72"/>
      <c r="G63" s="90">
        <v>0.25</v>
      </c>
      <c r="H63" s="74">
        <v>16450000</v>
      </c>
      <c r="I63" s="74"/>
      <c r="J63" s="74"/>
      <c r="K63" s="74">
        <f t="shared" si="0"/>
        <v>16450000</v>
      </c>
      <c r="L63" s="74"/>
      <c r="M63" s="74"/>
      <c r="N63" s="74">
        <f t="shared" si="1"/>
        <v>16450000</v>
      </c>
      <c r="O63" s="91">
        <f t="shared" si="2"/>
        <v>4</v>
      </c>
      <c r="P63" s="72">
        <f t="shared" ref="P63:P98" si="67">O63*12</f>
        <v>48</v>
      </c>
      <c r="Q63" s="72">
        <f t="shared" si="3"/>
        <v>8</v>
      </c>
      <c r="R63" s="92">
        <f t="shared" si="4"/>
        <v>2014</v>
      </c>
      <c r="S63" s="93">
        <f t="shared" si="5"/>
        <v>7</v>
      </c>
      <c r="T63" s="94">
        <f t="shared" si="6"/>
        <v>2018</v>
      </c>
      <c r="U63" s="96">
        <f t="shared" ref="U63:U98" si="68">K63/P63</f>
        <v>342708.33333333331</v>
      </c>
      <c r="V63" s="73">
        <v>0</v>
      </c>
      <c r="W63" s="73">
        <v>48</v>
      </c>
      <c r="X63" s="96">
        <f t="shared" si="46"/>
        <v>0</v>
      </c>
      <c r="Y63" s="96">
        <v>16450000</v>
      </c>
      <c r="Z63" s="96">
        <f t="shared" si="47"/>
        <v>0</v>
      </c>
      <c r="AA63" s="73">
        <f t="shared" si="48"/>
        <v>0</v>
      </c>
      <c r="AB63" s="73">
        <f t="shared" si="28"/>
        <v>48</v>
      </c>
      <c r="AC63" s="96">
        <f t="shared" si="49"/>
        <v>0</v>
      </c>
      <c r="AD63" s="96">
        <f t="shared" si="29"/>
        <v>16450000</v>
      </c>
      <c r="AE63" s="96">
        <f t="shared" si="50"/>
        <v>0</v>
      </c>
      <c r="AF63" s="73">
        <f t="shared" si="43"/>
        <v>0</v>
      </c>
      <c r="AG63" s="73">
        <f t="shared" si="30"/>
        <v>48</v>
      </c>
      <c r="AH63" s="96">
        <f t="shared" si="31"/>
        <v>0</v>
      </c>
      <c r="AI63" s="96">
        <f t="shared" si="51"/>
        <v>16450000</v>
      </c>
      <c r="AJ63" s="96">
        <f t="shared" si="52"/>
        <v>0</v>
      </c>
      <c r="AK63" s="73">
        <f t="shared" si="32"/>
        <v>0</v>
      </c>
      <c r="AL63" s="73">
        <f t="shared" si="33"/>
        <v>48</v>
      </c>
      <c r="AM63" s="96">
        <f t="shared" si="34"/>
        <v>0</v>
      </c>
      <c r="AN63" s="96">
        <f t="shared" si="35"/>
        <v>16450000</v>
      </c>
      <c r="AO63" s="96">
        <f t="shared" si="36"/>
        <v>0</v>
      </c>
      <c r="AP63" s="73">
        <f t="shared" si="37"/>
        <v>0</v>
      </c>
      <c r="AQ63" s="73">
        <f t="shared" si="38"/>
        <v>48</v>
      </c>
      <c r="AR63" s="96">
        <f t="shared" si="39"/>
        <v>0</v>
      </c>
      <c r="AS63" s="96">
        <f t="shared" si="40"/>
        <v>16450000</v>
      </c>
      <c r="AT63" s="96">
        <f t="shared" si="41"/>
        <v>0</v>
      </c>
      <c r="AU63" s="60"/>
      <c r="AV63" s="202">
        <f t="shared" si="42"/>
        <v>0</v>
      </c>
      <c r="AW63" s="203">
        <f t="shared" si="53"/>
        <v>0</v>
      </c>
      <c r="AX63" s="203">
        <f t="shared" si="54"/>
        <v>0</v>
      </c>
      <c r="AY63" s="203">
        <f t="shared" si="55"/>
        <v>0</v>
      </c>
      <c r="AZ63" s="203">
        <f t="shared" si="56"/>
        <v>0</v>
      </c>
      <c r="BA63" s="203">
        <f t="shared" si="57"/>
        <v>0</v>
      </c>
      <c r="BB63" s="203">
        <f t="shared" si="58"/>
        <v>0</v>
      </c>
      <c r="BC63" s="203">
        <f t="shared" si="59"/>
        <v>0</v>
      </c>
      <c r="BD63" s="203">
        <f t="shared" si="60"/>
        <v>0</v>
      </c>
      <c r="BE63" s="203">
        <f t="shared" si="61"/>
        <v>0</v>
      </c>
      <c r="BF63" s="203">
        <f t="shared" si="62"/>
        <v>0</v>
      </c>
      <c r="BG63" s="203">
        <f t="shared" si="63"/>
        <v>0</v>
      </c>
      <c r="BH63" s="203">
        <f t="shared" si="64"/>
        <v>0</v>
      </c>
    </row>
    <row r="64" spans="2:60" x14ac:dyDescent="0.2">
      <c r="B64" s="68"/>
      <c r="C64" s="89">
        <v>41863</v>
      </c>
      <c r="D64" s="70"/>
      <c r="E64" s="71" t="s">
        <v>164</v>
      </c>
      <c r="F64" s="72"/>
      <c r="G64" s="90">
        <v>0.25</v>
      </c>
      <c r="H64" s="74">
        <v>4700000</v>
      </c>
      <c r="I64" s="74"/>
      <c r="J64" s="74"/>
      <c r="K64" s="74">
        <f t="shared" si="0"/>
        <v>4700000</v>
      </c>
      <c r="L64" s="74"/>
      <c r="M64" s="74"/>
      <c r="N64" s="74">
        <f t="shared" si="1"/>
        <v>4700000</v>
      </c>
      <c r="O64" s="91">
        <f t="shared" si="2"/>
        <v>4</v>
      </c>
      <c r="P64" s="72">
        <f t="shared" si="67"/>
        <v>48</v>
      </c>
      <c r="Q64" s="72">
        <f t="shared" si="3"/>
        <v>8</v>
      </c>
      <c r="R64" s="92">
        <f t="shared" si="4"/>
        <v>2014</v>
      </c>
      <c r="S64" s="93">
        <f t="shared" si="5"/>
        <v>7</v>
      </c>
      <c r="T64" s="94">
        <f t="shared" si="6"/>
        <v>2018</v>
      </c>
      <c r="U64" s="96">
        <f t="shared" si="68"/>
        <v>97916.666666666672</v>
      </c>
      <c r="V64" s="73">
        <v>0</v>
      </c>
      <c r="W64" s="73">
        <v>48</v>
      </c>
      <c r="X64" s="96">
        <f t="shared" si="46"/>
        <v>0</v>
      </c>
      <c r="Y64" s="96">
        <v>4700000</v>
      </c>
      <c r="Z64" s="96">
        <f t="shared" si="47"/>
        <v>0</v>
      </c>
      <c r="AA64" s="73">
        <f t="shared" si="48"/>
        <v>0</v>
      </c>
      <c r="AB64" s="73">
        <f t="shared" si="28"/>
        <v>48</v>
      </c>
      <c r="AC64" s="96">
        <f t="shared" si="49"/>
        <v>0</v>
      </c>
      <c r="AD64" s="96">
        <f t="shared" si="29"/>
        <v>4700000</v>
      </c>
      <c r="AE64" s="96">
        <f t="shared" si="50"/>
        <v>0</v>
      </c>
      <c r="AF64" s="73">
        <f t="shared" si="43"/>
        <v>0</v>
      </c>
      <c r="AG64" s="73">
        <f t="shared" si="30"/>
        <v>48</v>
      </c>
      <c r="AH64" s="96">
        <f t="shared" si="31"/>
        <v>0</v>
      </c>
      <c r="AI64" s="96">
        <f t="shared" si="51"/>
        <v>4700000</v>
      </c>
      <c r="AJ64" s="96">
        <f t="shared" si="52"/>
        <v>0</v>
      </c>
      <c r="AK64" s="73">
        <f t="shared" si="32"/>
        <v>0</v>
      </c>
      <c r="AL64" s="73">
        <f t="shared" si="33"/>
        <v>48</v>
      </c>
      <c r="AM64" s="96">
        <f t="shared" si="34"/>
        <v>0</v>
      </c>
      <c r="AN64" s="96">
        <f t="shared" si="35"/>
        <v>4700000</v>
      </c>
      <c r="AO64" s="96">
        <f t="shared" si="36"/>
        <v>0</v>
      </c>
      <c r="AP64" s="73">
        <f t="shared" si="37"/>
        <v>0</v>
      </c>
      <c r="AQ64" s="73">
        <f t="shared" si="38"/>
        <v>48</v>
      </c>
      <c r="AR64" s="96">
        <f t="shared" si="39"/>
        <v>0</v>
      </c>
      <c r="AS64" s="96">
        <f t="shared" si="40"/>
        <v>4700000</v>
      </c>
      <c r="AT64" s="96">
        <f t="shared" si="41"/>
        <v>0</v>
      </c>
      <c r="AU64" s="60"/>
      <c r="AV64" s="202">
        <f t="shared" si="42"/>
        <v>0</v>
      </c>
      <c r="AW64" s="203">
        <f t="shared" si="53"/>
        <v>0</v>
      </c>
      <c r="AX64" s="203">
        <f t="shared" si="54"/>
        <v>0</v>
      </c>
      <c r="AY64" s="203">
        <f t="shared" si="55"/>
        <v>0</v>
      </c>
      <c r="AZ64" s="203">
        <f t="shared" si="56"/>
        <v>0</v>
      </c>
      <c r="BA64" s="203">
        <f t="shared" si="57"/>
        <v>0</v>
      </c>
      <c r="BB64" s="203">
        <f t="shared" si="58"/>
        <v>0</v>
      </c>
      <c r="BC64" s="203">
        <f t="shared" si="59"/>
        <v>0</v>
      </c>
      <c r="BD64" s="203">
        <f t="shared" si="60"/>
        <v>0</v>
      </c>
      <c r="BE64" s="203">
        <f t="shared" si="61"/>
        <v>0</v>
      </c>
      <c r="BF64" s="203">
        <f t="shared" si="62"/>
        <v>0</v>
      </c>
      <c r="BG64" s="203">
        <f t="shared" si="63"/>
        <v>0</v>
      </c>
      <c r="BH64" s="203">
        <f t="shared" si="64"/>
        <v>0</v>
      </c>
    </row>
    <row r="65" spans="2:60" x14ac:dyDescent="0.2">
      <c r="B65" s="68"/>
      <c r="C65" s="89">
        <v>41877</v>
      </c>
      <c r="D65" s="70"/>
      <c r="E65" s="71" t="s">
        <v>165</v>
      </c>
      <c r="F65" s="72"/>
      <c r="G65" s="90">
        <v>0.25</v>
      </c>
      <c r="H65" s="74">
        <v>2699000</v>
      </c>
      <c r="I65" s="74"/>
      <c r="J65" s="74"/>
      <c r="K65" s="74">
        <f t="shared" si="0"/>
        <v>2699000</v>
      </c>
      <c r="L65" s="74"/>
      <c r="M65" s="74"/>
      <c r="N65" s="74">
        <f t="shared" si="1"/>
        <v>2699000</v>
      </c>
      <c r="O65" s="91">
        <f t="shared" si="2"/>
        <v>4</v>
      </c>
      <c r="P65" s="72">
        <f t="shared" si="67"/>
        <v>48</v>
      </c>
      <c r="Q65" s="72">
        <f t="shared" si="3"/>
        <v>8</v>
      </c>
      <c r="R65" s="92">
        <f t="shared" si="4"/>
        <v>2014</v>
      </c>
      <c r="S65" s="93">
        <f t="shared" si="5"/>
        <v>7</v>
      </c>
      <c r="T65" s="94">
        <f t="shared" si="6"/>
        <v>2018</v>
      </c>
      <c r="U65" s="96">
        <f t="shared" si="68"/>
        <v>56229.166666666664</v>
      </c>
      <c r="V65" s="73">
        <v>0</v>
      </c>
      <c r="W65" s="73">
        <v>48</v>
      </c>
      <c r="X65" s="96">
        <f t="shared" si="46"/>
        <v>0</v>
      </c>
      <c r="Y65" s="96">
        <v>2698999.9999999995</v>
      </c>
      <c r="Z65" s="96">
        <f t="shared" si="47"/>
        <v>0</v>
      </c>
      <c r="AA65" s="73">
        <f t="shared" si="48"/>
        <v>0</v>
      </c>
      <c r="AB65" s="73">
        <f t="shared" si="28"/>
        <v>48</v>
      </c>
      <c r="AC65" s="96">
        <f t="shared" si="49"/>
        <v>0</v>
      </c>
      <c r="AD65" s="96">
        <f t="shared" si="29"/>
        <v>2698999.9999999995</v>
      </c>
      <c r="AE65" s="96">
        <f t="shared" si="50"/>
        <v>0</v>
      </c>
      <c r="AF65" s="73">
        <f t="shared" si="43"/>
        <v>0</v>
      </c>
      <c r="AG65" s="73">
        <f t="shared" si="30"/>
        <v>48</v>
      </c>
      <c r="AH65" s="96">
        <f t="shared" si="31"/>
        <v>0</v>
      </c>
      <c r="AI65" s="96">
        <f t="shared" si="51"/>
        <v>2698999.9999999995</v>
      </c>
      <c r="AJ65" s="96">
        <f t="shared" si="52"/>
        <v>0</v>
      </c>
      <c r="AK65" s="73">
        <f t="shared" si="32"/>
        <v>0</v>
      </c>
      <c r="AL65" s="73">
        <f t="shared" si="33"/>
        <v>48</v>
      </c>
      <c r="AM65" s="96">
        <f t="shared" si="34"/>
        <v>0</v>
      </c>
      <c r="AN65" s="96">
        <f t="shared" si="35"/>
        <v>2698999.9999999995</v>
      </c>
      <c r="AO65" s="96">
        <f t="shared" si="36"/>
        <v>0</v>
      </c>
      <c r="AP65" s="73">
        <f t="shared" si="37"/>
        <v>0</v>
      </c>
      <c r="AQ65" s="73">
        <f t="shared" si="38"/>
        <v>48</v>
      </c>
      <c r="AR65" s="96">
        <f t="shared" si="39"/>
        <v>0</v>
      </c>
      <c r="AS65" s="96">
        <f t="shared" si="40"/>
        <v>2698999.9999999995</v>
      </c>
      <c r="AT65" s="96">
        <f t="shared" si="41"/>
        <v>0</v>
      </c>
      <c r="AU65" s="60"/>
      <c r="AV65" s="202">
        <f t="shared" si="42"/>
        <v>0</v>
      </c>
      <c r="AW65" s="203">
        <f t="shared" si="53"/>
        <v>0</v>
      </c>
      <c r="AX65" s="203">
        <f t="shared" si="54"/>
        <v>0</v>
      </c>
      <c r="AY65" s="203">
        <f t="shared" si="55"/>
        <v>0</v>
      </c>
      <c r="AZ65" s="203">
        <f t="shared" si="56"/>
        <v>0</v>
      </c>
      <c r="BA65" s="203">
        <f t="shared" si="57"/>
        <v>0</v>
      </c>
      <c r="BB65" s="203">
        <f t="shared" si="58"/>
        <v>0</v>
      </c>
      <c r="BC65" s="203">
        <f t="shared" si="59"/>
        <v>0</v>
      </c>
      <c r="BD65" s="203">
        <f t="shared" si="60"/>
        <v>0</v>
      </c>
      <c r="BE65" s="203">
        <f t="shared" si="61"/>
        <v>0</v>
      </c>
      <c r="BF65" s="203">
        <f t="shared" si="62"/>
        <v>0</v>
      </c>
      <c r="BG65" s="203">
        <f t="shared" si="63"/>
        <v>0</v>
      </c>
      <c r="BH65" s="203">
        <f t="shared" si="64"/>
        <v>0</v>
      </c>
    </row>
    <row r="66" spans="2:60" x14ac:dyDescent="0.2">
      <c r="B66" s="68"/>
      <c r="C66" s="89">
        <v>41878</v>
      </c>
      <c r="D66" s="70"/>
      <c r="E66" s="71" t="s">
        <v>166</v>
      </c>
      <c r="F66" s="72"/>
      <c r="G66" s="90">
        <v>0.25</v>
      </c>
      <c r="H66" s="74">
        <v>2300000</v>
      </c>
      <c r="I66" s="74"/>
      <c r="J66" s="74"/>
      <c r="K66" s="74">
        <f t="shared" si="0"/>
        <v>2300000</v>
      </c>
      <c r="L66" s="74"/>
      <c r="M66" s="74"/>
      <c r="N66" s="74">
        <f t="shared" si="1"/>
        <v>2300000</v>
      </c>
      <c r="O66" s="91">
        <f t="shared" si="2"/>
        <v>4</v>
      </c>
      <c r="P66" s="72">
        <f t="shared" si="67"/>
        <v>48</v>
      </c>
      <c r="Q66" s="72">
        <f t="shared" si="3"/>
        <v>8</v>
      </c>
      <c r="R66" s="92">
        <f t="shared" si="4"/>
        <v>2014</v>
      </c>
      <c r="S66" s="93">
        <f t="shared" si="5"/>
        <v>7</v>
      </c>
      <c r="T66" s="94">
        <f t="shared" si="6"/>
        <v>2018</v>
      </c>
      <c r="U66" s="96">
        <f t="shared" si="68"/>
        <v>47916.666666666664</v>
      </c>
      <c r="V66" s="73">
        <v>0</v>
      </c>
      <c r="W66" s="73">
        <v>48</v>
      </c>
      <c r="X66" s="96">
        <f t="shared" si="46"/>
        <v>0</v>
      </c>
      <c r="Y66" s="96">
        <v>2300000</v>
      </c>
      <c r="Z66" s="96">
        <f t="shared" si="47"/>
        <v>0</v>
      </c>
      <c r="AA66" s="73">
        <f t="shared" si="48"/>
        <v>0</v>
      </c>
      <c r="AB66" s="73">
        <f t="shared" si="28"/>
        <v>48</v>
      </c>
      <c r="AC66" s="96">
        <f t="shared" si="49"/>
        <v>0</v>
      </c>
      <c r="AD66" s="96">
        <f t="shared" si="29"/>
        <v>2300000</v>
      </c>
      <c r="AE66" s="96">
        <f t="shared" si="50"/>
        <v>0</v>
      </c>
      <c r="AF66" s="73">
        <f t="shared" si="43"/>
        <v>0</v>
      </c>
      <c r="AG66" s="73">
        <f t="shared" si="30"/>
        <v>48</v>
      </c>
      <c r="AH66" s="96">
        <f t="shared" si="31"/>
        <v>0</v>
      </c>
      <c r="AI66" s="96">
        <f t="shared" si="51"/>
        <v>2300000</v>
      </c>
      <c r="AJ66" s="96">
        <f t="shared" si="52"/>
        <v>0</v>
      </c>
      <c r="AK66" s="73">
        <f t="shared" si="32"/>
        <v>0</v>
      </c>
      <c r="AL66" s="73">
        <f t="shared" si="33"/>
        <v>48</v>
      </c>
      <c r="AM66" s="96">
        <f t="shared" si="34"/>
        <v>0</v>
      </c>
      <c r="AN66" s="96">
        <f t="shared" si="35"/>
        <v>2300000</v>
      </c>
      <c r="AO66" s="96">
        <f t="shared" si="36"/>
        <v>0</v>
      </c>
      <c r="AP66" s="73">
        <f t="shared" si="37"/>
        <v>0</v>
      </c>
      <c r="AQ66" s="73">
        <f t="shared" si="38"/>
        <v>48</v>
      </c>
      <c r="AR66" s="96">
        <f t="shared" si="39"/>
        <v>0</v>
      </c>
      <c r="AS66" s="96">
        <f t="shared" si="40"/>
        <v>2300000</v>
      </c>
      <c r="AT66" s="96">
        <f t="shared" si="41"/>
        <v>0</v>
      </c>
      <c r="AU66" s="60"/>
      <c r="AV66" s="202">
        <f t="shared" si="42"/>
        <v>0</v>
      </c>
      <c r="AW66" s="203">
        <f t="shared" si="53"/>
        <v>0</v>
      </c>
      <c r="AX66" s="203">
        <f t="shared" si="54"/>
        <v>0</v>
      </c>
      <c r="AY66" s="203">
        <f t="shared" si="55"/>
        <v>0</v>
      </c>
      <c r="AZ66" s="203">
        <f t="shared" si="56"/>
        <v>0</v>
      </c>
      <c r="BA66" s="203">
        <f t="shared" si="57"/>
        <v>0</v>
      </c>
      <c r="BB66" s="203">
        <f t="shared" si="58"/>
        <v>0</v>
      </c>
      <c r="BC66" s="203">
        <f t="shared" si="59"/>
        <v>0</v>
      </c>
      <c r="BD66" s="203">
        <f t="shared" si="60"/>
        <v>0</v>
      </c>
      <c r="BE66" s="203">
        <f t="shared" si="61"/>
        <v>0</v>
      </c>
      <c r="BF66" s="203">
        <f t="shared" si="62"/>
        <v>0</v>
      </c>
      <c r="BG66" s="203">
        <f t="shared" si="63"/>
        <v>0</v>
      </c>
      <c r="BH66" s="203">
        <f t="shared" si="64"/>
        <v>0</v>
      </c>
    </row>
    <row r="67" spans="2:60" x14ac:dyDescent="0.2">
      <c r="B67" s="68"/>
      <c r="C67" s="89">
        <v>41902</v>
      </c>
      <c r="D67" s="70"/>
      <c r="E67" s="71" t="s">
        <v>167</v>
      </c>
      <c r="F67" s="72"/>
      <c r="G67" s="90">
        <v>0.25</v>
      </c>
      <c r="H67" s="74">
        <v>6700000</v>
      </c>
      <c r="I67" s="74"/>
      <c r="J67" s="74"/>
      <c r="K67" s="74">
        <f t="shared" si="0"/>
        <v>6700000</v>
      </c>
      <c r="L67" s="74"/>
      <c r="M67" s="74"/>
      <c r="N67" s="74">
        <f t="shared" si="1"/>
        <v>6700000</v>
      </c>
      <c r="O67" s="91">
        <f t="shared" si="2"/>
        <v>4</v>
      </c>
      <c r="P67" s="72">
        <f t="shared" si="67"/>
        <v>48</v>
      </c>
      <c r="Q67" s="72">
        <f t="shared" si="3"/>
        <v>9</v>
      </c>
      <c r="R67" s="92">
        <f t="shared" si="4"/>
        <v>2014</v>
      </c>
      <c r="S67" s="93">
        <f t="shared" si="5"/>
        <v>8</v>
      </c>
      <c r="T67" s="94">
        <f t="shared" si="6"/>
        <v>2018</v>
      </c>
      <c r="U67" s="96">
        <f t="shared" si="68"/>
        <v>139583.33333333334</v>
      </c>
      <c r="V67" s="73">
        <v>0</v>
      </c>
      <c r="W67" s="73">
        <v>48</v>
      </c>
      <c r="X67" s="96">
        <f t="shared" si="46"/>
        <v>0</v>
      </c>
      <c r="Y67" s="96">
        <v>6700000.0000000009</v>
      </c>
      <c r="Z67" s="96">
        <f t="shared" si="47"/>
        <v>0</v>
      </c>
      <c r="AA67" s="73">
        <f t="shared" si="48"/>
        <v>0</v>
      </c>
      <c r="AB67" s="73">
        <f t="shared" si="28"/>
        <v>48</v>
      </c>
      <c r="AC67" s="96">
        <f t="shared" si="49"/>
        <v>0</v>
      </c>
      <c r="AD67" s="96">
        <f t="shared" si="29"/>
        <v>6700000.0000000009</v>
      </c>
      <c r="AE67" s="96">
        <f t="shared" si="50"/>
        <v>0</v>
      </c>
      <c r="AF67" s="73">
        <f t="shared" si="43"/>
        <v>0</v>
      </c>
      <c r="AG67" s="73">
        <f t="shared" si="30"/>
        <v>48</v>
      </c>
      <c r="AH67" s="96">
        <f t="shared" si="31"/>
        <v>0</v>
      </c>
      <c r="AI67" s="96">
        <f t="shared" si="51"/>
        <v>6700000.0000000009</v>
      </c>
      <c r="AJ67" s="96">
        <f t="shared" si="52"/>
        <v>0</v>
      </c>
      <c r="AK67" s="73">
        <f t="shared" si="32"/>
        <v>0</v>
      </c>
      <c r="AL67" s="73">
        <f t="shared" si="33"/>
        <v>48</v>
      </c>
      <c r="AM67" s="96">
        <f t="shared" si="34"/>
        <v>0</v>
      </c>
      <c r="AN67" s="96">
        <f t="shared" si="35"/>
        <v>6700000.0000000009</v>
      </c>
      <c r="AO67" s="96">
        <f t="shared" si="36"/>
        <v>0</v>
      </c>
      <c r="AP67" s="73">
        <f t="shared" si="37"/>
        <v>0</v>
      </c>
      <c r="AQ67" s="73">
        <f t="shared" si="38"/>
        <v>48</v>
      </c>
      <c r="AR67" s="96">
        <f t="shared" si="39"/>
        <v>0</v>
      </c>
      <c r="AS67" s="96">
        <f t="shared" si="40"/>
        <v>6700000.0000000009</v>
      </c>
      <c r="AT67" s="96">
        <f t="shared" si="41"/>
        <v>0</v>
      </c>
      <c r="AU67" s="60"/>
      <c r="AV67" s="202">
        <f t="shared" si="42"/>
        <v>0</v>
      </c>
      <c r="AW67" s="203">
        <f t="shared" si="53"/>
        <v>0</v>
      </c>
      <c r="AX67" s="203">
        <f t="shared" si="54"/>
        <v>0</v>
      </c>
      <c r="AY67" s="203">
        <f t="shared" si="55"/>
        <v>0</v>
      </c>
      <c r="AZ67" s="203">
        <f t="shared" si="56"/>
        <v>0</v>
      </c>
      <c r="BA67" s="203">
        <f t="shared" si="57"/>
        <v>0</v>
      </c>
      <c r="BB67" s="203">
        <f t="shared" si="58"/>
        <v>0</v>
      </c>
      <c r="BC67" s="203">
        <f t="shared" si="59"/>
        <v>0</v>
      </c>
      <c r="BD67" s="203">
        <f t="shared" si="60"/>
        <v>0</v>
      </c>
      <c r="BE67" s="203">
        <f t="shared" si="61"/>
        <v>0</v>
      </c>
      <c r="BF67" s="203">
        <f t="shared" si="62"/>
        <v>0</v>
      </c>
      <c r="BG67" s="203">
        <f t="shared" si="63"/>
        <v>0</v>
      </c>
      <c r="BH67" s="203">
        <f t="shared" si="64"/>
        <v>0</v>
      </c>
    </row>
    <row r="68" spans="2:60" x14ac:dyDescent="0.2">
      <c r="B68" s="68"/>
      <c r="C68" s="89">
        <v>41902</v>
      </c>
      <c r="D68" s="70"/>
      <c r="E68" s="71" t="s">
        <v>168</v>
      </c>
      <c r="F68" s="72"/>
      <c r="G68" s="90">
        <v>0.25</v>
      </c>
      <c r="H68" s="74">
        <v>2475000</v>
      </c>
      <c r="I68" s="74"/>
      <c r="J68" s="74"/>
      <c r="K68" s="74">
        <f t="shared" si="0"/>
        <v>2475000</v>
      </c>
      <c r="L68" s="74"/>
      <c r="M68" s="74"/>
      <c r="N68" s="74">
        <f t="shared" si="1"/>
        <v>2475000</v>
      </c>
      <c r="O68" s="91">
        <f t="shared" si="2"/>
        <v>4</v>
      </c>
      <c r="P68" s="72">
        <f t="shared" si="67"/>
        <v>48</v>
      </c>
      <c r="Q68" s="72">
        <f t="shared" si="3"/>
        <v>9</v>
      </c>
      <c r="R68" s="92">
        <f t="shared" si="4"/>
        <v>2014</v>
      </c>
      <c r="S68" s="93">
        <f t="shared" si="5"/>
        <v>8</v>
      </c>
      <c r="T68" s="94">
        <f t="shared" si="6"/>
        <v>2018</v>
      </c>
      <c r="U68" s="96">
        <f t="shared" si="68"/>
        <v>51562.5</v>
      </c>
      <c r="V68" s="73">
        <v>0</v>
      </c>
      <c r="W68" s="73">
        <v>48</v>
      </c>
      <c r="X68" s="96">
        <f t="shared" si="46"/>
        <v>0</v>
      </c>
      <c r="Y68" s="96">
        <v>2475000</v>
      </c>
      <c r="Z68" s="96">
        <f t="shared" si="47"/>
        <v>0</v>
      </c>
      <c r="AA68" s="73">
        <f t="shared" si="48"/>
        <v>0</v>
      </c>
      <c r="AB68" s="73">
        <f t="shared" si="28"/>
        <v>48</v>
      </c>
      <c r="AC68" s="96">
        <f t="shared" si="49"/>
        <v>0</v>
      </c>
      <c r="AD68" s="96">
        <f t="shared" si="29"/>
        <v>2475000</v>
      </c>
      <c r="AE68" s="96">
        <f t="shared" si="50"/>
        <v>0</v>
      </c>
      <c r="AF68" s="73">
        <f t="shared" si="43"/>
        <v>0</v>
      </c>
      <c r="AG68" s="73">
        <f t="shared" si="30"/>
        <v>48</v>
      </c>
      <c r="AH68" s="96">
        <f t="shared" si="31"/>
        <v>0</v>
      </c>
      <c r="AI68" s="96">
        <f t="shared" si="51"/>
        <v>2475000</v>
      </c>
      <c r="AJ68" s="96">
        <f t="shared" si="52"/>
        <v>0</v>
      </c>
      <c r="AK68" s="73">
        <f t="shared" si="32"/>
        <v>0</v>
      </c>
      <c r="AL68" s="73">
        <f t="shared" si="33"/>
        <v>48</v>
      </c>
      <c r="AM68" s="96">
        <f t="shared" si="34"/>
        <v>0</v>
      </c>
      <c r="AN68" s="96">
        <f t="shared" si="35"/>
        <v>2475000</v>
      </c>
      <c r="AO68" s="96">
        <f t="shared" si="36"/>
        <v>0</v>
      </c>
      <c r="AP68" s="73">
        <f t="shared" si="37"/>
        <v>0</v>
      </c>
      <c r="AQ68" s="73">
        <f t="shared" si="38"/>
        <v>48</v>
      </c>
      <c r="AR68" s="96">
        <f t="shared" si="39"/>
        <v>0</v>
      </c>
      <c r="AS68" s="96">
        <f t="shared" si="40"/>
        <v>2475000</v>
      </c>
      <c r="AT68" s="96">
        <f t="shared" si="41"/>
        <v>0</v>
      </c>
      <c r="AU68" s="60"/>
      <c r="AV68" s="202">
        <f t="shared" si="42"/>
        <v>0</v>
      </c>
      <c r="AW68" s="203">
        <f t="shared" si="53"/>
        <v>0</v>
      </c>
      <c r="AX68" s="203">
        <f t="shared" si="54"/>
        <v>0</v>
      </c>
      <c r="AY68" s="203">
        <f t="shared" si="55"/>
        <v>0</v>
      </c>
      <c r="AZ68" s="203">
        <f t="shared" si="56"/>
        <v>0</v>
      </c>
      <c r="BA68" s="203">
        <f t="shared" si="57"/>
        <v>0</v>
      </c>
      <c r="BB68" s="203">
        <f t="shared" si="58"/>
        <v>0</v>
      </c>
      <c r="BC68" s="203">
        <f t="shared" si="59"/>
        <v>0</v>
      </c>
      <c r="BD68" s="203">
        <f t="shared" si="60"/>
        <v>0</v>
      </c>
      <c r="BE68" s="203">
        <f t="shared" si="61"/>
        <v>0</v>
      </c>
      <c r="BF68" s="203">
        <f t="shared" si="62"/>
        <v>0</v>
      </c>
      <c r="BG68" s="203">
        <f t="shared" si="63"/>
        <v>0</v>
      </c>
      <c r="BH68" s="203">
        <f t="shared" si="64"/>
        <v>0</v>
      </c>
    </row>
    <row r="69" spans="2:60" x14ac:dyDescent="0.2">
      <c r="B69" s="68"/>
      <c r="C69" s="89">
        <v>41902</v>
      </c>
      <c r="D69" s="70"/>
      <c r="E69" s="71" t="s">
        <v>169</v>
      </c>
      <c r="F69" s="72"/>
      <c r="G69" s="90">
        <v>0.25</v>
      </c>
      <c r="H69" s="74">
        <v>5200000</v>
      </c>
      <c r="I69" s="74"/>
      <c r="J69" s="74"/>
      <c r="K69" s="74">
        <f t="shared" si="0"/>
        <v>5200000</v>
      </c>
      <c r="L69" s="74"/>
      <c r="M69" s="74"/>
      <c r="N69" s="74">
        <f t="shared" si="1"/>
        <v>5200000</v>
      </c>
      <c r="O69" s="91">
        <f t="shared" si="2"/>
        <v>4</v>
      </c>
      <c r="P69" s="72">
        <f t="shared" si="67"/>
        <v>48</v>
      </c>
      <c r="Q69" s="72">
        <f t="shared" si="3"/>
        <v>9</v>
      </c>
      <c r="R69" s="92">
        <f t="shared" si="4"/>
        <v>2014</v>
      </c>
      <c r="S69" s="93">
        <f t="shared" si="5"/>
        <v>8</v>
      </c>
      <c r="T69" s="94">
        <f t="shared" si="6"/>
        <v>2018</v>
      </c>
      <c r="U69" s="96">
        <f t="shared" si="68"/>
        <v>108333.33333333333</v>
      </c>
      <c r="V69" s="73">
        <v>0</v>
      </c>
      <c r="W69" s="73">
        <v>48</v>
      </c>
      <c r="X69" s="96">
        <f t="shared" si="46"/>
        <v>0</v>
      </c>
      <c r="Y69" s="96">
        <v>5200000</v>
      </c>
      <c r="Z69" s="96">
        <f t="shared" si="47"/>
        <v>0</v>
      </c>
      <c r="AA69" s="73">
        <f t="shared" si="48"/>
        <v>0</v>
      </c>
      <c r="AB69" s="73">
        <f t="shared" si="28"/>
        <v>48</v>
      </c>
      <c r="AC69" s="96">
        <f t="shared" si="49"/>
        <v>0</v>
      </c>
      <c r="AD69" s="96">
        <f t="shared" si="29"/>
        <v>5200000</v>
      </c>
      <c r="AE69" s="96">
        <f t="shared" si="50"/>
        <v>0</v>
      </c>
      <c r="AF69" s="73">
        <f t="shared" si="43"/>
        <v>0</v>
      </c>
      <c r="AG69" s="73">
        <f t="shared" si="30"/>
        <v>48</v>
      </c>
      <c r="AH69" s="96">
        <f t="shared" si="31"/>
        <v>0</v>
      </c>
      <c r="AI69" s="96">
        <f t="shared" si="51"/>
        <v>5200000</v>
      </c>
      <c r="AJ69" s="96">
        <f t="shared" si="52"/>
        <v>0</v>
      </c>
      <c r="AK69" s="73">
        <f t="shared" si="32"/>
        <v>0</v>
      </c>
      <c r="AL69" s="73">
        <f t="shared" si="33"/>
        <v>48</v>
      </c>
      <c r="AM69" s="96">
        <f t="shared" si="34"/>
        <v>0</v>
      </c>
      <c r="AN69" s="96">
        <f t="shared" si="35"/>
        <v>5200000</v>
      </c>
      <c r="AO69" s="96">
        <f t="shared" si="36"/>
        <v>0</v>
      </c>
      <c r="AP69" s="73">
        <f t="shared" si="37"/>
        <v>0</v>
      </c>
      <c r="AQ69" s="73">
        <f t="shared" si="38"/>
        <v>48</v>
      </c>
      <c r="AR69" s="96">
        <f t="shared" si="39"/>
        <v>0</v>
      </c>
      <c r="AS69" s="96">
        <f t="shared" si="40"/>
        <v>5200000</v>
      </c>
      <c r="AT69" s="96">
        <f t="shared" si="41"/>
        <v>0</v>
      </c>
      <c r="AU69" s="60"/>
      <c r="AV69" s="202">
        <f t="shared" si="42"/>
        <v>0</v>
      </c>
      <c r="AW69" s="203">
        <f t="shared" si="53"/>
        <v>0</v>
      </c>
      <c r="AX69" s="203">
        <f t="shared" si="54"/>
        <v>0</v>
      </c>
      <c r="AY69" s="203">
        <f t="shared" si="55"/>
        <v>0</v>
      </c>
      <c r="AZ69" s="203">
        <f t="shared" si="56"/>
        <v>0</v>
      </c>
      <c r="BA69" s="203">
        <f t="shared" si="57"/>
        <v>0</v>
      </c>
      <c r="BB69" s="203">
        <f t="shared" si="58"/>
        <v>0</v>
      </c>
      <c r="BC69" s="203">
        <f t="shared" si="59"/>
        <v>0</v>
      </c>
      <c r="BD69" s="203">
        <f t="shared" si="60"/>
        <v>0</v>
      </c>
      <c r="BE69" s="203">
        <f t="shared" si="61"/>
        <v>0</v>
      </c>
      <c r="BF69" s="203">
        <f t="shared" si="62"/>
        <v>0</v>
      </c>
      <c r="BG69" s="203">
        <f t="shared" si="63"/>
        <v>0</v>
      </c>
      <c r="BH69" s="203">
        <f t="shared" si="64"/>
        <v>0</v>
      </c>
    </row>
    <row r="70" spans="2:60" x14ac:dyDescent="0.2">
      <c r="B70" s="68"/>
      <c r="C70" s="89">
        <v>41928</v>
      </c>
      <c r="D70" s="70"/>
      <c r="E70" s="71" t="s">
        <v>170</v>
      </c>
      <c r="F70" s="72"/>
      <c r="G70" s="90">
        <v>0.25</v>
      </c>
      <c r="H70" s="74">
        <v>6100000</v>
      </c>
      <c r="I70" s="74"/>
      <c r="J70" s="74"/>
      <c r="K70" s="74">
        <f t="shared" si="0"/>
        <v>6100000</v>
      </c>
      <c r="L70" s="74"/>
      <c r="M70" s="74"/>
      <c r="N70" s="74">
        <f t="shared" si="1"/>
        <v>6100000</v>
      </c>
      <c r="O70" s="91">
        <f t="shared" si="2"/>
        <v>4</v>
      </c>
      <c r="P70" s="72">
        <f>O70*12</f>
        <v>48</v>
      </c>
      <c r="Q70" s="72">
        <f t="shared" si="3"/>
        <v>10</v>
      </c>
      <c r="R70" s="92">
        <f t="shared" si="4"/>
        <v>2014</v>
      </c>
      <c r="S70" s="93">
        <f t="shared" si="5"/>
        <v>9</v>
      </c>
      <c r="T70" s="94">
        <f t="shared" si="6"/>
        <v>2018</v>
      </c>
      <c r="U70" s="96">
        <f>K70/P70</f>
        <v>127083.33333333333</v>
      </c>
      <c r="V70" s="73">
        <v>0</v>
      </c>
      <c r="W70" s="73">
        <v>48</v>
      </c>
      <c r="X70" s="96">
        <f t="shared" si="46"/>
        <v>0</v>
      </c>
      <c r="Y70" s="96">
        <v>6100000</v>
      </c>
      <c r="Z70" s="96">
        <f t="shared" si="47"/>
        <v>0</v>
      </c>
      <c r="AA70" s="73">
        <f t="shared" si="48"/>
        <v>0</v>
      </c>
      <c r="AB70" s="73">
        <f t="shared" si="28"/>
        <v>48</v>
      </c>
      <c r="AC70" s="96">
        <f t="shared" si="49"/>
        <v>0</v>
      </c>
      <c r="AD70" s="96">
        <f t="shared" si="29"/>
        <v>6100000</v>
      </c>
      <c r="AE70" s="96">
        <f t="shared" si="50"/>
        <v>0</v>
      </c>
      <c r="AF70" s="73">
        <f t="shared" si="43"/>
        <v>0</v>
      </c>
      <c r="AG70" s="73">
        <f t="shared" si="30"/>
        <v>48</v>
      </c>
      <c r="AH70" s="96">
        <f t="shared" si="31"/>
        <v>0</v>
      </c>
      <c r="AI70" s="96">
        <f t="shared" si="51"/>
        <v>6100000</v>
      </c>
      <c r="AJ70" s="96">
        <f t="shared" si="52"/>
        <v>0</v>
      </c>
      <c r="AK70" s="73">
        <f t="shared" si="32"/>
        <v>0</v>
      </c>
      <c r="AL70" s="73">
        <f t="shared" si="33"/>
        <v>48</v>
      </c>
      <c r="AM70" s="96">
        <f t="shared" si="34"/>
        <v>0</v>
      </c>
      <c r="AN70" s="96">
        <f t="shared" si="35"/>
        <v>6100000</v>
      </c>
      <c r="AO70" s="96">
        <f t="shared" si="36"/>
        <v>0</v>
      </c>
      <c r="AP70" s="73">
        <f t="shared" si="37"/>
        <v>0</v>
      </c>
      <c r="AQ70" s="73">
        <f t="shared" si="38"/>
        <v>48</v>
      </c>
      <c r="AR70" s="96">
        <f t="shared" si="39"/>
        <v>0</v>
      </c>
      <c r="AS70" s="96">
        <f t="shared" si="40"/>
        <v>6100000</v>
      </c>
      <c r="AT70" s="96">
        <f t="shared" si="41"/>
        <v>0</v>
      </c>
      <c r="AU70" s="60"/>
      <c r="AV70" s="202">
        <f t="shared" si="42"/>
        <v>0</v>
      </c>
      <c r="AW70" s="203">
        <f t="shared" si="53"/>
        <v>0</v>
      </c>
      <c r="AX70" s="203">
        <f t="shared" si="54"/>
        <v>0</v>
      </c>
      <c r="AY70" s="203">
        <f t="shared" si="55"/>
        <v>0</v>
      </c>
      <c r="AZ70" s="203">
        <f t="shared" si="56"/>
        <v>0</v>
      </c>
      <c r="BA70" s="203">
        <f t="shared" si="57"/>
        <v>0</v>
      </c>
      <c r="BB70" s="203">
        <f t="shared" si="58"/>
        <v>0</v>
      </c>
      <c r="BC70" s="203">
        <f t="shared" si="59"/>
        <v>0</v>
      </c>
      <c r="BD70" s="203">
        <f t="shared" si="60"/>
        <v>0</v>
      </c>
      <c r="BE70" s="203">
        <f t="shared" si="61"/>
        <v>0</v>
      </c>
      <c r="BF70" s="203">
        <f t="shared" si="62"/>
        <v>0</v>
      </c>
      <c r="BG70" s="203">
        <f t="shared" si="63"/>
        <v>0</v>
      </c>
      <c r="BH70" s="203">
        <f t="shared" si="64"/>
        <v>0</v>
      </c>
    </row>
    <row r="71" spans="2:60" x14ac:dyDescent="0.2">
      <c r="B71" s="68"/>
      <c r="C71" s="89">
        <v>42027</v>
      </c>
      <c r="D71" s="70"/>
      <c r="E71" s="71" t="s">
        <v>171</v>
      </c>
      <c r="F71" s="72"/>
      <c r="G71" s="90">
        <v>0.25</v>
      </c>
      <c r="H71" s="74">
        <v>3259000</v>
      </c>
      <c r="I71" s="74"/>
      <c r="J71" s="74"/>
      <c r="K71" s="74">
        <f t="shared" si="0"/>
        <v>3259000</v>
      </c>
      <c r="L71" s="74"/>
      <c r="M71" s="74"/>
      <c r="N71" s="74">
        <f t="shared" si="1"/>
        <v>3259000</v>
      </c>
      <c r="O71" s="91">
        <f t="shared" si="2"/>
        <v>4</v>
      </c>
      <c r="P71" s="72">
        <f t="shared" ref="P71:P85" si="69">O71*12</f>
        <v>48</v>
      </c>
      <c r="Q71" s="72">
        <f t="shared" si="3"/>
        <v>1</v>
      </c>
      <c r="R71" s="92">
        <f t="shared" si="4"/>
        <v>2015</v>
      </c>
      <c r="S71" s="93">
        <f t="shared" si="5"/>
        <v>12</v>
      </c>
      <c r="T71" s="94">
        <f t="shared" si="6"/>
        <v>2018</v>
      </c>
      <c r="U71" s="96">
        <f t="shared" ref="U71:U85" si="70">K71/P71</f>
        <v>67895.833333333328</v>
      </c>
      <c r="V71" s="73">
        <v>0</v>
      </c>
      <c r="W71" s="73">
        <v>48</v>
      </c>
      <c r="X71" s="96">
        <f t="shared" si="46"/>
        <v>0</v>
      </c>
      <c r="Y71" s="96">
        <v>3259000</v>
      </c>
      <c r="Z71" s="96">
        <f t="shared" si="47"/>
        <v>0</v>
      </c>
      <c r="AA71" s="73">
        <f t="shared" si="48"/>
        <v>0</v>
      </c>
      <c r="AB71" s="73">
        <f t="shared" si="28"/>
        <v>48</v>
      </c>
      <c r="AC71" s="96">
        <f t="shared" si="49"/>
        <v>0</v>
      </c>
      <c r="AD71" s="96">
        <f t="shared" si="29"/>
        <v>3259000</v>
      </c>
      <c r="AE71" s="96">
        <f t="shared" si="50"/>
        <v>0</v>
      </c>
      <c r="AF71" s="73">
        <f t="shared" si="43"/>
        <v>0</v>
      </c>
      <c r="AG71" s="73">
        <f t="shared" si="30"/>
        <v>48</v>
      </c>
      <c r="AH71" s="96">
        <f t="shared" si="31"/>
        <v>0</v>
      </c>
      <c r="AI71" s="96">
        <f t="shared" si="51"/>
        <v>3259000</v>
      </c>
      <c r="AJ71" s="96">
        <f t="shared" si="52"/>
        <v>0</v>
      </c>
      <c r="AK71" s="73">
        <f t="shared" si="32"/>
        <v>0</v>
      </c>
      <c r="AL71" s="73">
        <f t="shared" si="33"/>
        <v>48</v>
      </c>
      <c r="AM71" s="96">
        <f t="shared" si="34"/>
        <v>0</v>
      </c>
      <c r="AN71" s="96">
        <f t="shared" si="35"/>
        <v>3259000</v>
      </c>
      <c r="AO71" s="96">
        <f t="shared" si="36"/>
        <v>0</v>
      </c>
      <c r="AP71" s="73">
        <f t="shared" si="37"/>
        <v>0</v>
      </c>
      <c r="AQ71" s="73">
        <f t="shared" si="38"/>
        <v>48</v>
      </c>
      <c r="AR71" s="96">
        <f t="shared" si="39"/>
        <v>0</v>
      </c>
      <c r="AS71" s="96">
        <f t="shared" si="40"/>
        <v>3259000</v>
      </c>
      <c r="AT71" s="96">
        <f t="shared" si="41"/>
        <v>0</v>
      </c>
      <c r="AU71" s="60"/>
      <c r="AV71" s="202">
        <f t="shared" si="42"/>
        <v>0</v>
      </c>
      <c r="AW71" s="203">
        <f t="shared" si="53"/>
        <v>0</v>
      </c>
      <c r="AX71" s="203">
        <f t="shared" si="54"/>
        <v>0</v>
      </c>
      <c r="AY71" s="203">
        <f t="shared" si="55"/>
        <v>0</v>
      </c>
      <c r="AZ71" s="203">
        <f t="shared" si="56"/>
        <v>0</v>
      </c>
      <c r="BA71" s="203">
        <f t="shared" si="57"/>
        <v>0</v>
      </c>
      <c r="BB71" s="203">
        <f t="shared" si="58"/>
        <v>0</v>
      </c>
      <c r="BC71" s="203">
        <f t="shared" si="59"/>
        <v>0</v>
      </c>
      <c r="BD71" s="203">
        <f t="shared" si="60"/>
        <v>0</v>
      </c>
      <c r="BE71" s="203">
        <f t="shared" si="61"/>
        <v>0</v>
      </c>
      <c r="BF71" s="203">
        <f t="shared" si="62"/>
        <v>0</v>
      </c>
      <c r="BG71" s="203">
        <f t="shared" si="63"/>
        <v>0</v>
      </c>
      <c r="BH71" s="203">
        <f t="shared" si="64"/>
        <v>0</v>
      </c>
    </row>
    <row r="72" spans="2:60" x14ac:dyDescent="0.2">
      <c r="B72" s="68"/>
      <c r="C72" s="89">
        <v>42037</v>
      </c>
      <c r="D72" s="70"/>
      <c r="E72" s="71" t="s">
        <v>172</v>
      </c>
      <c r="F72" s="72"/>
      <c r="G72" s="90">
        <v>0.25</v>
      </c>
      <c r="H72" s="74">
        <v>2499000</v>
      </c>
      <c r="I72" s="74"/>
      <c r="J72" s="74"/>
      <c r="K72" s="74">
        <f t="shared" si="0"/>
        <v>2499000</v>
      </c>
      <c r="L72" s="74"/>
      <c r="M72" s="74"/>
      <c r="N72" s="74">
        <f t="shared" si="1"/>
        <v>2499000</v>
      </c>
      <c r="O72" s="91">
        <f t="shared" si="2"/>
        <v>4</v>
      </c>
      <c r="P72" s="72">
        <f t="shared" si="69"/>
        <v>48</v>
      </c>
      <c r="Q72" s="72">
        <f t="shared" si="3"/>
        <v>2</v>
      </c>
      <c r="R72" s="92">
        <f t="shared" si="4"/>
        <v>2015</v>
      </c>
      <c r="S72" s="93">
        <f t="shared" si="5"/>
        <v>1</v>
      </c>
      <c r="T72" s="94">
        <f t="shared" si="6"/>
        <v>2019</v>
      </c>
      <c r="U72" s="96">
        <f t="shared" si="70"/>
        <v>52062.5</v>
      </c>
      <c r="V72" s="73">
        <v>0</v>
      </c>
      <c r="W72" s="73">
        <v>48</v>
      </c>
      <c r="X72" s="96">
        <f t="shared" si="46"/>
        <v>0</v>
      </c>
      <c r="Y72" s="96">
        <v>2499000</v>
      </c>
      <c r="Z72" s="96">
        <f t="shared" si="47"/>
        <v>0</v>
      </c>
      <c r="AA72" s="73">
        <f t="shared" si="48"/>
        <v>0</v>
      </c>
      <c r="AB72" s="73">
        <f t="shared" si="28"/>
        <v>48</v>
      </c>
      <c r="AC72" s="96">
        <f t="shared" si="49"/>
        <v>0</v>
      </c>
      <c r="AD72" s="96">
        <f t="shared" si="29"/>
        <v>2499000</v>
      </c>
      <c r="AE72" s="96">
        <f t="shared" si="50"/>
        <v>0</v>
      </c>
      <c r="AF72" s="73">
        <f t="shared" si="43"/>
        <v>0</v>
      </c>
      <c r="AG72" s="73">
        <f t="shared" si="30"/>
        <v>48</v>
      </c>
      <c r="AH72" s="96">
        <f t="shared" si="31"/>
        <v>0</v>
      </c>
      <c r="AI72" s="96">
        <f t="shared" si="51"/>
        <v>2499000</v>
      </c>
      <c r="AJ72" s="96">
        <f t="shared" si="52"/>
        <v>0</v>
      </c>
      <c r="AK72" s="73">
        <f t="shared" si="32"/>
        <v>0</v>
      </c>
      <c r="AL72" s="73">
        <f t="shared" si="33"/>
        <v>48</v>
      </c>
      <c r="AM72" s="96">
        <f t="shared" si="34"/>
        <v>0</v>
      </c>
      <c r="AN72" s="96">
        <f t="shared" si="35"/>
        <v>2499000</v>
      </c>
      <c r="AO72" s="96">
        <f t="shared" si="36"/>
        <v>0</v>
      </c>
      <c r="AP72" s="73">
        <f t="shared" si="37"/>
        <v>0</v>
      </c>
      <c r="AQ72" s="73">
        <f t="shared" si="38"/>
        <v>48</v>
      </c>
      <c r="AR72" s="96">
        <f t="shared" si="39"/>
        <v>0</v>
      </c>
      <c r="AS72" s="96">
        <f t="shared" si="40"/>
        <v>2499000</v>
      </c>
      <c r="AT72" s="96">
        <f t="shared" si="41"/>
        <v>0</v>
      </c>
      <c r="AU72" s="60"/>
      <c r="AV72" s="202">
        <f t="shared" si="42"/>
        <v>0</v>
      </c>
      <c r="AW72" s="203">
        <f t="shared" si="53"/>
        <v>0</v>
      </c>
      <c r="AX72" s="203">
        <f t="shared" si="54"/>
        <v>0</v>
      </c>
      <c r="AY72" s="203">
        <f t="shared" si="55"/>
        <v>0</v>
      </c>
      <c r="AZ72" s="203">
        <f t="shared" si="56"/>
        <v>0</v>
      </c>
      <c r="BA72" s="203">
        <f t="shared" si="57"/>
        <v>0</v>
      </c>
      <c r="BB72" s="203">
        <f t="shared" si="58"/>
        <v>0</v>
      </c>
      <c r="BC72" s="203">
        <f t="shared" si="59"/>
        <v>0</v>
      </c>
      <c r="BD72" s="203">
        <f t="shared" si="60"/>
        <v>0</v>
      </c>
      <c r="BE72" s="203">
        <f t="shared" si="61"/>
        <v>0</v>
      </c>
      <c r="BF72" s="203">
        <f t="shared" si="62"/>
        <v>0</v>
      </c>
      <c r="BG72" s="203">
        <f t="shared" si="63"/>
        <v>0</v>
      </c>
      <c r="BH72" s="203">
        <f t="shared" si="64"/>
        <v>0</v>
      </c>
    </row>
    <row r="73" spans="2:60" x14ac:dyDescent="0.2">
      <c r="B73" s="68"/>
      <c r="C73" s="89">
        <v>42052</v>
      </c>
      <c r="D73" s="70"/>
      <c r="E73" s="71" t="s">
        <v>173</v>
      </c>
      <c r="F73" s="72"/>
      <c r="G73" s="90">
        <v>0.25</v>
      </c>
      <c r="H73" s="74">
        <v>2175000</v>
      </c>
      <c r="I73" s="74"/>
      <c r="J73" s="74"/>
      <c r="K73" s="74">
        <f t="shared" si="0"/>
        <v>2175000</v>
      </c>
      <c r="L73" s="74"/>
      <c r="M73" s="74"/>
      <c r="N73" s="74">
        <f t="shared" si="1"/>
        <v>2175000</v>
      </c>
      <c r="O73" s="91">
        <f t="shared" si="2"/>
        <v>4</v>
      </c>
      <c r="P73" s="72">
        <f t="shared" si="69"/>
        <v>48</v>
      </c>
      <c r="Q73" s="72">
        <f t="shared" si="3"/>
        <v>2</v>
      </c>
      <c r="R73" s="92">
        <f t="shared" si="4"/>
        <v>2015</v>
      </c>
      <c r="S73" s="93">
        <f t="shared" si="5"/>
        <v>1</v>
      </c>
      <c r="T73" s="94">
        <f t="shared" si="6"/>
        <v>2019</v>
      </c>
      <c r="U73" s="96">
        <f t="shared" si="70"/>
        <v>45312.5</v>
      </c>
      <c r="V73" s="73">
        <v>0</v>
      </c>
      <c r="W73" s="73">
        <v>48</v>
      </c>
      <c r="X73" s="96">
        <f t="shared" si="46"/>
        <v>0</v>
      </c>
      <c r="Y73" s="96">
        <v>2175000</v>
      </c>
      <c r="Z73" s="96">
        <f t="shared" si="47"/>
        <v>0</v>
      </c>
      <c r="AA73" s="73">
        <f t="shared" si="48"/>
        <v>0</v>
      </c>
      <c r="AB73" s="73">
        <f t="shared" si="28"/>
        <v>48</v>
      </c>
      <c r="AC73" s="96">
        <f t="shared" si="49"/>
        <v>0</v>
      </c>
      <c r="AD73" s="96">
        <f t="shared" si="29"/>
        <v>2175000</v>
      </c>
      <c r="AE73" s="96">
        <f t="shared" si="50"/>
        <v>0</v>
      </c>
      <c r="AF73" s="73">
        <f t="shared" si="43"/>
        <v>0</v>
      </c>
      <c r="AG73" s="73">
        <f t="shared" si="30"/>
        <v>48</v>
      </c>
      <c r="AH73" s="96">
        <f t="shared" si="31"/>
        <v>0</v>
      </c>
      <c r="AI73" s="96">
        <f t="shared" si="51"/>
        <v>2175000</v>
      </c>
      <c r="AJ73" s="96">
        <f t="shared" si="52"/>
        <v>0</v>
      </c>
      <c r="AK73" s="73">
        <f t="shared" si="32"/>
        <v>0</v>
      </c>
      <c r="AL73" s="73">
        <f t="shared" si="33"/>
        <v>48</v>
      </c>
      <c r="AM73" s="96">
        <f t="shared" si="34"/>
        <v>0</v>
      </c>
      <c r="AN73" s="96">
        <f t="shared" si="35"/>
        <v>2175000</v>
      </c>
      <c r="AO73" s="96">
        <f t="shared" si="36"/>
        <v>0</v>
      </c>
      <c r="AP73" s="73">
        <f t="shared" si="37"/>
        <v>0</v>
      </c>
      <c r="AQ73" s="73">
        <f t="shared" si="38"/>
        <v>48</v>
      </c>
      <c r="AR73" s="96">
        <f t="shared" si="39"/>
        <v>0</v>
      </c>
      <c r="AS73" s="96">
        <f t="shared" si="40"/>
        <v>2175000</v>
      </c>
      <c r="AT73" s="96">
        <f t="shared" si="41"/>
        <v>0</v>
      </c>
      <c r="AU73" s="60"/>
      <c r="AV73" s="202">
        <f t="shared" si="42"/>
        <v>0</v>
      </c>
      <c r="AW73" s="203">
        <f t="shared" si="53"/>
        <v>0</v>
      </c>
      <c r="AX73" s="203">
        <f t="shared" si="54"/>
        <v>0</v>
      </c>
      <c r="AY73" s="203">
        <f t="shared" si="55"/>
        <v>0</v>
      </c>
      <c r="AZ73" s="203">
        <f t="shared" si="56"/>
        <v>0</v>
      </c>
      <c r="BA73" s="203">
        <f t="shared" si="57"/>
        <v>0</v>
      </c>
      <c r="BB73" s="203">
        <f t="shared" si="58"/>
        <v>0</v>
      </c>
      <c r="BC73" s="203">
        <f t="shared" si="59"/>
        <v>0</v>
      </c>
      <c r="BD73" s="203">
        <f t="shared" si="60"/>
        <v>0</v>
      </c>
      <c r="BE73" s="203">
        <f t="shared" si="61"/>
        <v>0</v>
      </c>
      <c r="BF73" s="203">
        <f t="shared" si="62"/>
        <v>0</v>
      </c>
      <c r="BG73" s="203">
        <f t="shared" si="63"/>
        <v>0</v>
      </c>
      <c r="BH73" s="203">
        <f t="shared" si="64"/>
        <v>0</v>
      </c>
    </row>
    <row r="74" spans="2:60" x14ac:dyDescent="0.2">
      <c r="B74" s="68"/>
      <c r="C74" s="89">
        <v>42053</v>
      </c>
      <c r="D74" s="70"/>
      <c r="E74" s="71" t="s">
        <v>174</v>
      </c>
      <c r="F74" s="72"/>
      <c r="G74" s="90">
        <v>0.25</v>
      </c>
      <c r="H74" s="74">
        <v>6546750</v>
      </c>
      <c r="I74" s="74"/>
      <c r="J74" s="74"/>
      <c r="K74" s="74">
        <f t="shared" si="0"/>
        <v>6546750</v>
      </c>
      <c r="L74" s="74"/>
      <c r="M74" s="74"/>
      <c r="N74" s="74">
        <f t="shared" si="1"/>
        <v>6546750</v>
      </c>
      <c r="O74" s="91">
        <f t="shared" si="2"/>
        <v>4</v>
      </c>
      <c r="P74" s="72">
        <f t="shared" si="69"/>
        <v>48</v>
      </c>
      <c r="Q74" s="72">
        <f t="shared" si="3"/>
        <v>2</v>
      </c>
      <c r="R74" s="92">
        <f t="shared" si="4"/>
        <v>2015</v>
      </c>
      <c r="S74" s="93">
        <f t="shared" si="5"/>
        <v>1</v>
      </c>
      <c r="T74" s="94">
        <f t="shared" si="6"/>
        <v>2019</v>
      </c>
      <c r="U74" s="96">
        <f t="shared" si="70"/>
        <v>136390.625</v>
      </c>
      <c r="V74" s="73">
        <v>0</v>
      </c>
      <c r="W74" s="73">
        <v>48</v>
      </c>
      <c r="X74" s="96">
        <f t="shared" si="46"/>
        <v>0</v>
      </c>
      <c r="Y74" s="96">
        <v>6546750</v>
      </c>
      <c r="Z74" s="96">
        <f t="shared" si="47"/>
        <v>0</v>
      </c>
      <c r="AA74" s="73">
        <f t="shared" si="48"/>
        <v>0</v>
      </c>
      <c r="AB74" s="73">
        <f t="shared" si="28"/>
        <v>48</v>
      </c>
      <c r="AC74" s="96">
        <f t="shared" si="49"/>
        <v>0</v>
      </c>
      <c r="AD74" s="96">
        <f t="shared" si="29"/>
        <v>6546750</v>
      </c>
      <c r="AE74" s="96">
        <f t="shared" si="50"/>
        <v>0</v>
      </c>
      <c r="AF74" s="73">
        <f t="shared" si="43"/>
        <v>0</v>
      </c>
      <c r="AG74" s="73">
        <f t="shared" si="30"/>
        <v>48</v>
      </c>
      <c r="AH74" s="96">
        <f t="shared" si="31"/>
        <v>0</v>
      </c>
      <c r="AI74" s="96">
        <f t="shared" si="51"/>
        <v>6546750</v>
      </c>
      <c r="AJ74" s="96">
        <f t="shared" si="52"/>
        <v>0</v>
      </c>
      <c r="AK74" s="73">
        <f t="shared" si="32"/>
        <v>0</v>
      </c>
      <c r="AL74" s="73">
        <f t="shared" si="33"/>
        <v>48</v>
      </c>
      <c r="AM74" s="96">
        <f t="shared" si="34"/>
        <v>0</v>
      </c>
      <c r="AN74" s="96">
        <f t="shared" si="35"/>
        <v>6546750</v>
      </c>
      <c r="AO74" s="96">
        <f t="shared" si="36"/>
        <v>0</v>
      </c>
      <c r="AP74" s="73">
        <f t="shared" si="37"/>
        <v>0</v>
      </c>
      <c r="AQ74" s="73">
        <f t="shared" si="38"/>
        <v>48</v>
      </c>
      <c r="AR74" s="96">
        <f t="shared" si="39"/>
        <v>0</v>
      </c>
      <c r="AS74" s="96">
        <f t="shared" si="40"/>
        <v>6546750</v>
      </c>
      <c r="AT74" s="96">
        <f t="shared" si="41"/>
        <v>0</v>
      </c>
      <c r="AU74" s="60"/>
      <c r="AV74" s="202">
        <f t="shared" si="42"/>
        <v>0</v>
      </c>
      <c r="AW74" s="203">
        <f t="shared" si="53"/>
        <v>0</v>
      </c>
      <c r="AX74" s="203">
        <f t="shared" si="54"/>
        <v>0</v>
      </c>
      <c r="AY74" s="203">
        <f t="shared" si="55"/>
        <v>0</v>
      </c>
      <c r="AZ74" s="203">
        <f t="shared" si="56"/>
        <v>0</v>
      </c>
      <c r="BA74" s="203">
        <f t="shared" si="57"/>
        <v>0</v>
      </c>
      <c r="BB74" s="203">
        <f t="shared" si="58"/>
        <v>0</v>
      </c>
      <c r="BC74" s="203">
        <f t="shared" si="59"/>
        <v>0</v>
      </c>
      <c r="BD74" s="203">
        <f t="shared" si="60"/>
        <v>0</v>
      </c>
      <c r="BE74" s="203">
        <f t="shared" si="61"/>
        <v>0</v>
      </c>
      <c r="BF74" s="203">
        <f t="shared" si="62"/>
        <v>0</v>
      </c>
      <c r="BG74" s="203">
        <f t="shared" si="63"/>
        <v>0</v>
      </c>
      <c r="BH74" s="203">
        <f t="shared" si="64"/>
        <v>0</v>
      </c>
    </row>
    <row r="75" spans="2:60" x14ac:dyDescent="0.2">
      <c r="B75" s="68"/>
      <c r="C75" s="89">
        <v>42053</v>
      </c>
      <c r="D75" s="70"/>
      <c r="E75" s="71" t="s">
        <v>175</v>
      </c>
      <c r="F75" s="72"/>
      <c r="G75" s="90">
        <v>0.25</v>
      </c>
      <c r="H75" s="74">
        <v>5250000</v>
      </c>
      <c r="I75" s="74"/>
      <c r="J75" s="74"/>
      <c r="K75" s="74">
        <f t="shared" si="0"/>
        <v>5250000</v>
      </c>
      <c r="L75" s="74"/>
      <c r="M75" s="74"/>
      <c r="N75" s="74">
        <f t="shared" si="1"/>
        <v>5250000</v>
      </c>
      <c r="O75" s="91">
        <f t="shared" si="2"/>
        <v>4</v>
      </c>
      <c r="P75" s="72">
        <f t="shared" si="69"/>
        <v>48</v>
      </c>
      <c r="Q75" s="72">
        <f t="shared" si="3"/>
        <v>2</v>
      </c>
      <c r="R75" s="92">
        <f t="shared" si="4"/>
        <v>2015</v>
      </c>
      <c r="S75" s="93">
        <f t="shared" si="5"/>
        <v>1</v>
      </c>
      <c r="T75" s="94">
        <f t="shared" si="6"/>
        <v>2019</v>
      </c>
      <c r="U75" s="96">
        <f t="shared" si="70"/>
        <v>109375</v>
      </c>
      <c r="V75" s="73">
        <v>0</v>
      </c>
      <c r="W75" s="73">
        <v>48</v>
      </c>
      <c r="X75" s="96">
        <f t="shared" si="46"/>
        <v>0</v>
      </c>
      <c r="Y75" s="96">
        <v>5250000</v>
      </c>
      <c r="Z75" s="96">
        <f t="shared" si="47"/>
        <v>0</v>
      </c>
      <c r="AA75" s="73">
        <f t="shared" si="48"/>
        <v>0</v>
      </c>
      <c r="AB75" s="73">
        <f t="shared" si="28"/>
        <v>48</v>
      </c>
      <c r="AC75" s="96">
        <f t="shared" si="49"/>
        <v>0</v>
      </c>
      <c r="AD75" s="96">
        <f t="shared" si="29"/>
        <v>5250000</v>
      </c>
      <c r="AE75" s="96">
        <f t="shared" si="50"/>
        <v>0</v>
      </c>
      <c r="AF75" s="73">
        <f t="shared" si="43"/>
        <v>0</v>
      </c>
      <c r="AG75" s="73">
        <f t="shared" si="30"/>
        <v>48</v>
      </c>
      <c r="AH75" s="96">
        <f t="shared" si="31"/>
        <v>0</v>
      </c>
      <c r="AI75" s="96">
        <f t="shared" si="51"/>
        <v>5250000</v>
      </c>
      <c r="AJ75" s="96">
        <f t="shared" si="52"/>
        <v>0</v>
      </c>
      <c r="AK75" s="73">
        <f t="shared" si="32"/>
        <v>0</v>
      </c>
      <c r="AL75" s="73">
        <f t="shared" si="33"/>
        <v>48</v>
      </c>
      <c r="AM75" s="96">
        <f t="shared" si="34"/>
        <v>0</v>
      </c>
      <c r="AN75" s="96">
        <f t="shared" si="35"/>
        <v>5250000</v>
      </c>
      <c r="AO75" s="96">
        <f t="shared" si="36"/>
        <v>0</v>
      </c>
      <c r="AP75" s="73">
        <f t="shared" si="37"/>
        <v>0</v>
      </c>
      <c r="AQ75" s="73">
        <f t="shared" si="38"/>
        <v>48</v>
      </c>
      <c r="AR75" s="96">
        <f t="shared" si="39"/>
        <v>0</v>
      </c>
      <c r="AS75" s="96">
        <f t="shared" si="40"/>
        <v>5250000</v>
      </c>
      <c r="AT75" s="96">
        <f t="shared" si="41"/>
        <v>0</v>
      </c>
      <c r="AU75" s="60"/>
      <c r="AV75" s="202">
        <f t="shared" si="42"/>
        <v>0</v>
      </c>
      <c r="AW75" s="203">
        <f t="shared" si="53"/>
        <v>0</v>
      </c>
      <c r="AX75" s="203">
        <f t="shared" si="54"/>
        <v>0</v>
      </c>
      <c r="AY75" s="203">
        <f t="shared" si="55"/>
        <v>0</v>
      </c>
      <c r="AZ75" s="203">
        <f t="shared" si="56"/>
        <v>0</v>
      </c>
      <c r="BA75" s="203">
        <f t="shared" si="57"/>
        <v>0</v>
      </c>
      <c r="BB75" s="203">
        <f t="shared" si="58"/>
        <v>0</v>
      </c>
      <c r="BC75" s="203">
        <f t="shared" si="59"/>
        <v>0</v>
      </c>
      <c r="BD75" s="203">
        <f t="shared" si="60"/>
        <v>0</v>
      </c>
      <c r="BE75" s="203">
        <f t="shared" si="61"/>
        <v>0</v>
      </c>
      <c r="BF75" s="203">
        <f t="shared" si="62"/>
        <v>0</v>
      </c>
      <c r="BG75" s="203">
        <f t="shared" si="63"/>
        <v>0</v>
      </c>
      <c r="BH75" s="203">
        <f t="shared" si="64"/>
        <v>0</v>
      </c>
    </row>
    <row r="76" spans="2:60" x14ac:dyDescent="0.2">
      <c r="B76" s="68"/>
      <c r="C76" s="89">
        <v>42039</v>
      </c>
      <c r="D76" s="70"/>
      <c r="E76" s="71" t="s">
        <v>176</v>
      </c>
      <c r="F76" s="72"/>
      <c r="G76" s="90">
        <v>0.25</v>
      </c>
      <c r="H76" s="74">
        <v>2550000</v>
      </c>
      <c r="I76" s="74"/>
      <c r="J76" s="74"/>
      <c r="K76" s="74">
        <f t="shared" ref="K76:K125" si="71">H76+I76-J76</f>
        <v>2550000</v>
      </c>
      <c r="L76" s="74"/>
      <c r="M76" s="74"/>
      <c r="N76" s="74">
        <f t="shared" ref="N76:N125" si="72">K76+L76-M76</f>
        <v>2550000</v>
      </c>
      <c r="O76" s="91">
        <f t="shared" ref="O76:O125" si="73">100%/G76</f>
        <v>4</v>
      </c>
      <c r="P76" s="72">
        <f t="shared" si="69"/>
        <v>48</v>
      </c>
      <c r="Q76" s="72">
        <f t="shared" ref="Q76:Q125" si="74">MONTH(C76)</f>
        <v>2</v>
      </c>
      <c r="R76" s="92">
        <f t="shared" ref="R76:R125" si="75">YEAR(C76)</f>
        <v>2015</v>
      </c>
      <c r="S76" s="93">
        <f t="shared" ref="S76:S125" si="76">IF(Q76=1, 12, Q76-1)</f>
        <v>1</v>
      </c>
      <c r="T76" s="94">
        <f t="shared" ref="T76:T125" si="77">IF(Q76=1,R76+O76-1,R76+O76)</f>
        <v>2019</v>
      </c>
      <c r="U76" s="96">
        <f t="shared" si="70"/>
        <v>53125</v>
      </c>
      <c r="V76" s="73">
        <v>0</v>
      </c>
      <c r="W76" s="73">
        <v>48</v>
      </c>
      <c r="X76" s="96">
        <f t="shared" ref="X76:X107" si="78">+V76*U76</f>
        <v>0</v>
      </c>
      <c r="Y76" s="96">
        <v>2550000</v>
      </c>
      <c r="Z76" s="96">
        <f t="shared" ref="Z76:Z107" si="79">N76-Y76</f>
        <v>0</v>
      </c>
      <c r="AA76" s="73">
        <f t="shared" ref="AA76:AA107" si="80">IF(W76&gt;=P76-12,P76-W76,12)</f>
        <v>0</v>
      </c>
      <c r="AB76" s="73">
        <f t="shared" si="28"/>
        <v>48</v>
      </c>
      <c r="AC76" s="96">
        <f t="shared" ref="AC76:AC107" si="81">+AA76*U76</f>
        <v>0</v>
      </c>
      <c r="AD76" s="96">
        <f t="shared" si="29"/>
        <v>2550000</v>
      </c>
      <c r="AE76" s="96">
        <f t="shared" ref="AE76:AE107" si="82">N76-AD76</f>
        <v>0</v>
      </c>
      <c r="AF76" s="73">
        <f t="shared" si="43"/>
        <v>0</v>
      </c>
      <c r="AG76" s="73">
        <f t="shared" si="30"/>
        <v>48</v>
      </c>
      <c r="AH76" s="96">
        <f t="shared" si="31"/>
        <v>0</v>
      </c>
      <c r="AI76" s="96">
        <f t="shared" ref="AI76:AI107" si="83">AD76+AH76</f>
        <v>2550000</v>
      </c>
      <c r="AJ76" s="96">
        <f t="shared" ref="AJ76:AJ107" si="84">N76-AI76</f>
        <v>0</v>
      </c>
      <c r="AK76" s="73">
        <f t="shared" si="32"/>
        <v>0</v>
      </c>
      <c r="AL76" s="73">
        <f t="shared" si="33"/>
        <v>48</v>
      </c>
      <c r="AM76" s="96">
        <f t="shared" si="34"/>
        <v>0</v>
      </c>
      <c r="AN76" s="96">
        <f t="shared" si="35"/>
        <v>2550000</v>
      </c>
      <c r="AO76" s="96">
        <f t="shared" si="36"/>
        <v>0</v>
      </c>
      <c r="AP76" s="73">
        <f t="shared" si="37"/>
        <v>0</v>
      </c>
      <c r="AQ76" s="73">
        <f t="shared" si="38"/>
        <v>48</v>
      </c>
      <c r="AR76" s="96">
        <f t="shared" si="39"/>
        <v>0</v>
      </c>
      <c r="AS76" s="96">
        <f t="shared" si="40"/>
        <v>2550000</v>
      </c>
      <c r="AT76" s="96">
        <f t="shared" si="41"/>
        <v>0</v>
      </c>
      <c r="AU76" s="60"/>
      <c r="AV76" s="202">
        <f t="shared" si="42"/>
        <v>0</v>
      </c>
      <c r="AW76" s="203">
        <f t="shared" ref="AW76:AW107" si="85">+U76*0</f>
        <v>0</v>
      </c>
      <c r="AX76" s="203">
        <f t="shared" ref="AX76:AX107" si="86">+U76*0</f>
        <v>0</v>
      </c>
      <c r="AY76" s="203">
        <f t="shared" ref="AY76:AY107" si="87">+U76*0</f>
        <v>0</v>
      </c>
      <c r="AZ76" s="203">
        <f t="shared" ref="AZ76:AZ107" si="88">+U76*0</f>
        <v>0</v>
      </c>
      <c r="BA76" s="203">
        <f t="shared" ref="BA76:BA107" si="89">+U76*0</f>
        <v>0</v>
      </c>
      <c r="BB76" s="203">
        <f t="shared" ref="BB76:BB107" si="90">+U76*0</f>
        <v>0</v>
      </c>
      <c r="BC76" s="203">
        <f t="shared" ref="BC76:BC107" si="91">+U76*0</f>
        <v>0</v>
      </c>
      <c r="BD76" s="203">
        <f t="shared" ref="BD76:BD107" si="92">+U76*0</f>
        <v>0</v>
      </c>
      <c r="BE76" s="203">
        <f t="shared" ref="BE76:BE107" si="93">+U76*0</f>
        <v>0</v>
      </c>
      <c r="BF76" s="203">
        <f t="shared" ref="BF76:BF107" si="94">+U76*0</f>
        <v>0</v>
      </c>
      <c r="BG76" s="203">
        <f t="shared" ref="BG76:BG107" si="95">+U76*0</f>
        <v>0</v>
      </c>
      <c r="BH76" s="203">
        <f t="shared" ref="BH76:BH107" si="96">+U76*0</f>
        <v>0</v>
      </c>
    </row>
    <row r="77" spans="2:60" x14ac:dyDescent="0.2">
      <c r="B77" s="68"/>
      <c r="C77" s="89">
        <v>42075</v>
      </c>
      <c r="D77" s="70"/>
      <c r="E77" s="71" t="s">
        <v>177</v>
      </c>
      <c r="F77" s="72"/>
      <c r="G77" s="90">
        <v>0.25</v>
      </c>
      <c r="H77" s="74">
        <v>2525000</v>
      </c>
      <c r="I77" s="74"/>
      <c r="J77" s="74"/>
      <c r="K77" s="74">
        <f t="shared" si="71"/>
        <v>2525000</v>
      </c>
      <c r="L77" s="74"/>
      <c r="M77" s="74"/>
      <c r="N77" s="74">
        <f t="shared" si="72"/>
        <v>2525000</v>
      </c>
      <c r="O77" s="91">
        <f t="shared" si="73"/>
        <v>4</v>
      </c>
      <c r="P77" s="72">
        <f t="shared" si="69"/>
        <v>48</v>
      </c>
      <c r="Q77" s="72">
        <f t="shared" si="74"/>
        <v>3</v>
      </c>
      <c r="R77" s="92">
        <f t="shared" si="75"/>
        <v>2015</v>
      </c>
      <c r="S77" s="93">
        <f t="shared" si="76"/>
        <v>2</v>
      </c>
      <c r="T77" s="94">
        <f t="shared" si="77"/>
        <v>2019</v>
      </c>
      <c r="U77" s="96">
        <f t="shared" si="70"/>
        <v>52604.166666666664</v>
      </c>
      <c r="V77" s="73">
        <v>0</v>
      </c>
      <c r="W77" s="73">
        <v>48</v>
      </c>
      <c r="X77" s="96">
        <f t="shared" si="78"/>
        <v>0</v>
      </c>
      <c r="Y77" s="96">
        <v>2525000</v>
      </c>
      <c r="Z77" s="96">
        <f t="shared" si="79"/>
        <v>0</v>
      </c>
      <c r="AA77" s="73">
        <f t="shared" si="80"/>
        <v>0</v>
      </c>
      <c r="AB77" s="73">
        <f t="shared" ref="AB77:AB125" si="97">+W77+AA77</f>
        <v>48</v>
      </c>
      <c r="AC77" s="96">
        <f t="shared" si="81"/>
        <v>0</v>
      </c>
      <c r="AD77" s="96">
        <f t="shared" ref="AD77:AD125" si="98">Y77+AC77</f>
        <v>2525000</v>
      </c>
      <c r="AE77" s="96">
        <f t="shared" si="82"/>
        <v>0</v>
      </c>
      <c r="AF77" s="73">
        <f t="shared" si="43"/>
        <v>0</v>
      </c>
      <c r="AG77" s="73">
        <f t="shared" ref="AG77:AG125" si="99">+AB77+AF77</f>
        <v>48</v>
      </c>
      <c r="AH77" s="96">
        <f t="shared" ref="AH77:AH125" si="100">+AF77*U77</f>
        <v>0</v>
      </c>
      <c r="AI77" s="96">
        <f t="shared" si="83"/>
        <v>2525000</v>
      </c>
      <c r="AJ77" s="96">
        <f t="shared" si="84"/>
        <v>0</v>
      </c>
      <c r="AK77" s="73">
        <f t="shared" ref="AK77:AK125" si="101">IF(AG77&gt;=P77-12,P77-AG77,12)</f>
        <v>0</v>
      </c>
      <c r="AL77" s="73">
        <f t="shared" ref="AL77:AL125" si="102">+AG77+AK77</f>
        <v>48</v>
      </c>
      <c r="AM77" s="96">
        <f t="shared" ref="AM77:AM125" si="103">+AK77*U77</f>
        <v>0</v>
      </c>
      <c r="AN77" s="96">
        <f t="shared" ref="AN77:AN125" si="104">AI77+AM77</f>
        <v>2525000</v>
      </c>
      <c r="AO77" s="96">
        <f t="shared" ref="AO77:AO125" si="105">N77-AN77</f>
        <v>0</v>
      </c>
      <c r="AP77" s="73">
        <f t="shared" ref="AP77:AP125" si="106">IF(AL77&gt;=P77-12,P77-AL77,12)</f>
        <v>0</v>
      </c>
      <c r="AQ77" s="73">
        <f t="shared" ref="AQ77:AQ125" si="107">+AL77+AP77</f>
        <v>48</v>
      </c>
      <c r="AR77" s="96">
        <f t="shared" ref="AR77:AR108" si="108">+AP77*Z77</f>
        <v>0</v>
      </c>
      <c r="AS77" s="96">
        <f t="shared" ref="AS77:AS125" si="109">AN77+AR77</f>
        <v>2525000</v>
      </c>
      <c r="AT77" s="96">
        <f t="shared" ref="AT77:AT125" si="110">N77-AS77</f>
        <v>0</v>
      </c>
      <c r="AU77" s="60"/>
      <c r="AV77" s="202">
        <f t="shared" ref="AV77:AV125" si="111">SUM(AW77:BH77)</f>
        <v>0</v>
      </c>
      <c r="AW77" s="203">
        <f t="shared" si="85"/>
        <v>0</v>
      </c>
      <c r="AX77" s="203">
        <f t="shared" si="86"/>
        <v>0</v>
      </c>
      <c r="AY77" s="203">
        <f t="shared" si="87"/>
        <v>0</v>
      </c>
      <c r="AZ77" s="203">
        <f t="shared" si="88"/>
        <v>0</v>
      </c>
      <c r="BA77" s="203">
        <f t="shared" si="89"/>
        <v>0</v>
      </c>
      <c r="BB77" s="203">
        <f t="shared" si="90"/>
        <v>0</v>
      </c>
      <c r="BC77" s="203">
        <f t="shared" si="91"/>
        <v>0</v>
      </c>
      <c r="BD77" s="203">
        <f t="shared" si="92"/>
        <v>0</v>
      </c>
      <c r="BE77" s="203">
        <f t="shared" si="93"/>
        <v>0</v>
      </c>
      <c r="BF77" s="203">
        <f t="shared" si="94"/>
        <v>0</v>
      </c>
      <c r="BG77" s="203">
        <f t="shared" si="95"/>
        <v>0</v>
      </c>
      <c r="BH77" s="203">
        <f t="shared" si="96"/>
        <v>0</v>
      </c>
    </row>
    <row r="78" spans="2:60" x14ac:dyDescent="0.2">
      <c r="B78" s="68"/>
      <c r="C78" s="89">
        <v>42075</v>
      </c>
      <c r="D78" s="70"/>
      <c r="E78" s="71" t="s">
        <v>178</v>
      </c>
      <c r="F78" s="72"/>
      <c r="G78" s="90">
        <v>0.25</v>
      </c>
      <c r="H78" s="74">
        <v>5670000</v>
      </c>
      <c r="I78" s="74"/>
      <c r="J78" s="74"/>
      <c r="K78" s="74">
        <f t="shared" si="71"/>
        <v>5670000</v>
      </c>
      <c r="L78" s="74"/>
      <c r="M78" s="74"/>
      <c r="N78" s="74">
        <f t="shared" si="72"/>
        <v>5670000</v>
      </c>
      <c r="O78" s="91">
        <f t="shared" si="73"/>
        <v>4</v>
      </c>
      <c r="P78" s="72">
        <f t="shared" si="69"/>
        <v>48</v>
      </c>
      <c r="Q78" s="72">
        <f t="shared" si="74"/>
        <v>3</v>
      </c>
      <c r="R78" s="92">
        <f t="shared" si="75"/>
        <v>2015</v>
      </c>
      <c r="S78" s="93">
        <f t="shared" si="76"/>
        <v>2</v>
      </c>
      <c r="T78" s="94">
        <f t="shared" si="77"/>
        <v>2019</v>
      </c>
      <c r="U78" s="96">
        <f t="shared" si="70"/>
        <v>118125</v>
      </c>
      <c r="V78" s="73">
        <v>0</v>
      </c>
      <c r="W78" s="73">
        <v>48</v>
      </c>
      <c r="X78" s="96">
        <f t="shared" si="78"/>
        <v>0</v>
      </c>
      <c r="Y78" s="96">
        <v>5670000</v>
      </c>
      <c r="Z78" s="96">
        <f t="shared" si="79"/>
        <v>0</v>
      </c>
      <c r="AA78" s="73">
        <f t="shared" si="80"/>
        <v>0</v>
      </c>
      <c r="AB78" s="73">
        <f t="shared" si="97"/>
        <v>48</v>
      </c>
      <c r="AC78" s="96">
        <f t="shared" si="81"/>
        <v>0</v>
      </c>
      <c r="AD78" s="96">
        <f t="shared" si="98"/>
        <v>5670000</v>
      </c>
      <c r="AE78" s="96">
        <f t="shared" si="82"/>
        <v>0</v>
      </c>
      <c r="AF78" s="73">
        <f t="shared" ref="AF78:AF125" si="112">IF(AB78&gt;=P78-12,P78-AB78,12)</f>
        <v>0</v>
      </c>
      <c r="AG78" s="73">
        <f t="shared" si="99"/>
        <v>48</v>
      </c>
      <c r="AH78" s="96">
        <f t="shared" si="100"/>
        <v>0</v>
      </c>
      <c r="AI78" s="96">
        <f t="shared" si="83"/>
        <v>5670000</v>
      </c>
      <c r="AJ78" s="96">
        <f t="shared" si="84"/>
        <v>0</v>
      </c>
      <c r="AK78" s="73">
        <f t="shared" si="101"/>
        <v>0</v>
      </c>
      <c r="AL78" s="73">
        <f t="shared" si="102"/>
        <v>48</v>
      </c>
      <c r="AM78" s="96">
        <f t="shared" si="103"/>
        <v>0</v>
      </c>
      <c r="AN78" s="96">
        <f t="shared" si="104"/>
        <v>5670000</v>
      </c>
      <c r="AO78" s="96">
        <f t="shared" si="105"/>
        <v>0</v>
      </c>
      <c r="AP78" s="73">
        <f t="shared" si="106"/>
        <v>0</v>
      </c>
      <c r="AQ78" s="73">
        <f t="shared" si="107"/>
        <v>48</v>
      </c>
      <c r="AR78" s="96">
        <f t="shared" si="108"/>
        <v>0</v>
      </c>
      <c r="AS78" s="96">
        <f t="shared" si="109"/>
        <v>5670000</v>
      </c>
      <c r="AT78" s="96">
        <f t="shared" si="110"/>
        <v>0</v>
      </c>
      <c r="AU78" s="60"/>
      <c r="AV78" s="202">
        <f t="shared" si="111"/>
        <v>0</v>
      </c>
      <c r="AW78" s="203">
        <f t="shared" si="85"/>
        <v>0</v>
      </c>
      <c r="AX78" s="203">
        <f t="shared" si="86"/>
        <v>0</v>
      </c>
      <c r="AY78" s="203">
        <f t="shared" si="87"/>
        <v>0</v>
      </c>
      <c r="AZ78" s="203">
        <f t="shared" si="88"/>
        <v>0</v>
      </c>
      <c r="BA78" s="203">
        <f t="shared" si="89"/>
        <v>0</v>
      </c>
      <c r="BB78" s="203">
        <f t="shared" si="90"/>
        <v>0</v>
      </c>
      <c r="BC78" s="203">
        <f t="shared" si="91"/>
        <v>0</v>
      </c>
      <c r="BD78" s="203">
        <f t="shared" si="92"/>
        <v>0</v>
      </c>
      <c r="BE78" s="203">
        <f t="shared" si="93"/>
        <v>0</v>
      </c>
      <c r="BF78" s="203">
        <f t="shared" si="94"/>
        <v>0</v>
      </c>
      <c r="BG78" s="203">
        <f t="shared" si="95"/>
        <v>0</v>
      </c>
      <c r="BH78" s="203">
        <f t="shared" si="96"/>
        <v>0</v>
      </c>
    </row>
    <row r="79" spans="2:60" x14ac:dyDescent="0.2">
      <c r="B79" s="68"/>
      <c r="C79" s="89">
        <v>42093</v>
      </c>
      <c r="D79" s="70"/>
      <c r="E79" s="71" t="s">
        <v>179</v>
      </c>
      <c r="F79" s="72"/>
      <c r="G79" s="90">
        <v>0.25</v>
      </c>
      <c r="H79" s="74">
        <v>1950000</v>
      </c>
      <c r="I79" s="74"/>
      <c r="J79" s="74"/>
      <c r="K79" s="74">
        <f t="shared" si="71"/>
        <v>1950000</v>
      </c>
      <c r="L79" s="74"/>
      <c r="M79" s="74"/>
      <c r="N79" s="74">
        <f t="shared" si="72"/>
        <v>1950000</v>
      </c>
      <c r="O79" s="91">
        <f t="shared" si="73"/>
        <v>4</v>
      </c>
      <c r="P79" s="72">
        <f t="shared" si="69"/>
        <v>48</v>
      </c>
      <c r="Q79" s="72">
        <f t="shared" si="74"/>
        <v>3</v>
      </c>
      <c r="R79" s="92">
        <f t="shared" si="75"/>
        <v>2015</v>
      </c>
      <c r="S79" s="93">
        <f t="shared" si="76"/>
        <v>2</v>
      </c>
      <c r="T79" s="94">
        <f t="shared" si="77"/>
        <v>2019</v>
      </c>
      <c r="U79" s="96">
        <f t="shared" si="70"/>
        <v>40625</v>
      </c>
      <c r="V79" s="73">
        <v>0</v>
      </c>
      <c r="W79" s="73">
        <v>48</v>
      </c>
      <c r="X79" s="96">
        <f t="shared" si="78"/>
        <v>0</v>
      </c>
      <c r="Y79" s="96">
        <v>1950000</v>
      </c>
      <c r="Z79" s="96">
        <f t="shared" si="79"/>
        <v>0</v>
      </c>
      <c r="AA79" s="73">
        <f t="shared" si="80"/>
        <v>0</v>
      </c>
      <c r="AB79" s="73">
        <f t="shared" si="97"/>
        <v>48</v>
      </c>
      <c r="AC79" s="96">
        <f t="shared" si="81"/>
        <v>0</v>
      </c>
      <c r="AD79" s="96">
        <f t="shared" si="98"/>
        <v>1950000</v>
      </c>
      <c r="AE79" s="96">
        <f t="shared" si="82"/>
        <v>0</v>
      </c>
      <c r="AF79" s="73">
        <f t="shared" si="112"/>
        <v>0</v>
      </c>
      <c r="AG79" s="73">
        <f t="shared" si="99"/>
        <v>48</v>
      </c>
      <c r="AH79" s="96">
        <f t="shared" si="100"/>
        <v>0</v>
      </c>
      <c r="AI79" s="96">
        <f t="shared" si="83"/>
        <v>1950000</v>
      </c>
      <c r="AJ79" s="96">
        <f t="shared" si="84"/>
        <v>0</v>
      </c>
      <c r="AK79" s="73">
        <f t="shared" si="101"/>
        <v>0</v>
      </c>
      <c r="AL79" s="73">
        <f t="shared" si="102"/>
        <v>48</v>
      </c>
      <c r="AM79" s="96">
        <f t="shared" si="103"/>
        <v>0</v>
      </c>
      <c r="AN79" s="96">
        <f t="shared" si="104"/>
        <v>1950000</v>
      </c>
      <c r="AO79" s="96">
        <f t="shared" si="105"/>
        <v>0</v>
      </c>
      <c r="AP79" s="73">
        <f t="shared" si="106"/>
        <v>0</v>
      </c>
      <c r="AQ79" s="73">
        <f t="shared" si="107"/>
        <v>48</v>
      </c>
      <c r="AR79" s="96">
        <f t="shared" si="108"/>
        <v>0</v>
      </c>
      <c r="AS79" s="96">
        <f t="shared" si="109"/>
        <v>1950000</v>
      </c>
      <c r="AT79" s="96">
        <f t="shared" si="110"/>
        <v>0</v>
      </c>
      <c r="AU79" s="60"/>
      <c r="AV79" s="202">
        <f t="shared" si="111"/>
        <v>0</v>
      </c>
      <c r="AW79" s="203">
        <f t="shared" si="85"/>
        <v>0</v>
      </c>
      <c r="AX79" s="203">
        <f t="shared" si="86"/>
        <v>0</v>
      </c>
      <c r="AY79" s="203">
        <f t="shared" si="87"/>
        <v>0</v>
      </c>
      <c r="AZ79" s="203">
        <f t="shared" si="88"/>
        <v>0</v>
      </c>
      <c r="BA79" s="203">
        <f t="shared" si="89"/>
        <v>0</v>
      </c>
      <c r="BB79" s="203">
        <f t="shared" si="90"/>
        <v>0</v>
      </c>
      <c r="BC79" s="203">
        <f t="shared" si="91"/>
        <v>0</v>
      </c>
      <c r="BD79" s="203">
        <f t="shared" si="92"/>
        <v>0</v>
      </c>
      <c r="BE79" s="203">
        <f t="shared" si="93"/>
        <v>0</v>
      </c>
      <c r="BF79" s="203">
        <f t="shared" si="94"/>
        <v>0</v>
      </c>
      <c r="BG79" s="203">
        <f t="shared" si="95"/>
        <v>0</v>
      </c>
      <c r="BH79" s="203">
        <f t="shared" si="96"/>
        <v>0</v>
      </c>
    </row>
    <row r="80" spans="2:60" x14ac:dyDescent="0.2">
      <c r="B80" s="68"/>
      <c r="C80" s="89">
        <v>42118</v>
      </c>
      <c r="D80" s="70"/>
      <c r="E80" s="71" t="s">
        <v>180</v>
      </c>
      <c r="F80" s="72"/>
      <c r="G80" s="90">
        <v>0.25</v>
      </c>
      <c r="H80" s="74">
        <v>5000000</v>
      </c>
      <c r="I80" s="74"/>
      <c r="J80" s="74"/>
      <c r="K80" s="74">
        <f t="shared" si="71"/>
        <v>5000000</v>
      </c>
      <c r="L80" s="74"/>
      <c r="M80" s="74"/>
      <c r="N80" s="74">
        <f t="shared" si="72"/>
        <v>5000000</v>
      </c>
      <c r="O80" s="91">
        <f t="shared" si="73"/>
        <v>4</v>
      </c>
      <c r="P80" s="72">
        <f t="shared" si="69"/>
        <v>48</v>
      </c>
      <c r="Q80" s="72">
        <f t="shared" si="74"/>
        <v>4</v>
      </c>
      <c r="R80" s="92">
        <f t="shared" si="75"/>
        <v>2015</v>
      </c>
      <c r="S80" s="93">
        <f t="shared" si="76"/>
        <v>3</v>
      </c>
      <c r="T80" s="94">
        <f t="shared" si="77"/>
        <v>2019</v>
      </c>
      <c r="U80" s="96">
        <f t="shared" si="70"/>
        <v>104166.66666666667</v>
      </c>
      <c r="V80" s="73">
        <v>0</v>
      </c>
      <c r="W80" s="73">
        <v>48</v>
      </c>
      <c r="X80" s="96">
        <f t="shared" si="78"/>
        <v>0</v>
      </c>
      <c r="Y80" s="96">
        <v>5000000</v>
      </c>
      <c r="Z80" s="96">
        <f t="shared" si="79"/>
        <v>0</v>
      </c>
      <c r="AA80" s="73">
        <f t="shared" si="80"/>
        <v>0</v>
      </c>
      <c r="AB80" s="73">
        <f t="shared" si="97"/>
        <v>48</v>
      </c>
      <c r="AC80" s="96">
        <f t="shared" si="81"/>
        <v>0</v>
      </c>
      <c r="AD80" s="96">
        <f t="shared" si="98"/>
        <v>5000000</v>
      </c>
      <c r="AE80" s="96">
        <f t="shared" si="82"/>
        <v>0</v>
      </c>
      <c r="AF80" s="73">
        <f t="shared" si="112"/>
        <v>0</v>
      </c>
      <c r="AG80" s="73">
        <f t="shared" si="99"/>
        <v>48</v>
      </c>
      <c r="AH80" s="96">
        <f t="shared" si="100"/>
        <v>0</v>
      </c>
      <c r="AI80" s="96">
        <f t="shared" si="83"/>
        <v>5000000</v>
      </c>
      <c r="AJ80" s="96">
        <f t="shared" si="84"/>
        <v>0</v>
      </c>
      <c r="AK80" s="73">
        <f t="shared" si="101"/>
        <v>0</v>
      </c>
      <c r="AL80" s="73">
        <f t="shared" si="102"/>
        <v>48</v>
      </c>
      <c r="AM80" s="96">
        <f t="shared" si="103"/>
        <v>0</v>
      </c>
      <c r="AN80" s="96">
        <f t="shared" si="104"/>
        <v>5000000</v>
      </c>
      <c r="AO80" s="96">
        <f t="shared" si="105"/>
        <v>0</v>
      </c>
      <c r="AP80" s="73">
        <f t="shared" si="106"/>
        <v>0</v>
      </c>
      <c r="AQ80" s="73">
        <f t="shared" si="107"/>
        <v>48</v>
      </c>
      <c r="AR80" s="96">
        <f t="shared" si="108"/>
        <v>0</v>
      </c>
      <c r="AS80" s="96">
        <f t="shared" si="109"/>
        <v>5000000</v>
      </c>
      <c r="AT80" s="96">
        <f t="shared" si="110"/>
        <v>0</v>
      </c>
      <c r="AU80" s="60"/>
      <c r="AV80" s="202">
        <f t="shared" si="111"/>
        <v>0</v>
      </c>
      <c r="AW80" s="203">
        <f t="shared" si="85"/>
        <v>0</v>
      </c>
      <c r="AX80" s="203">
        <f t="shared" si="86"/>
        <v>0</v>
      </c>
      <c r="AY80" s="203">
        <f t="shared" si="87"/>
        <v>0</v>
      </c>
      <c r="AZ80" s="203">
        <f t="shared" si="88"/>
        <v>0</v>
      </c>
      <c r="BA80" s="203">
        <f t="shared" si="89"/>
        <v>0</v>
      </c>
      <c r="BB80" s="203">
        <f t="shared" si="90"/>
        <v>0</v>
      </c>
      <c r="BC80" s="203">
        <f t="shared" si="91"/>
        <v>0</v>
      </c>
      <c r="BD80" s="203">
        <f t="shared" si="92"/>
        <v>0</v>
      </c>
      <c r="BE80" s="203">
        <f t="shared" si="93"/>
        <v>0</v>
      </c>
      <c r="BF80" s="203">
        <f t="shared" si="94"/>
        <v>0</v>
      </c>
      <c r="BG80" s="203">
        <f t="shared" si="95"/>
        <v>0</v>
      </c>
      <c r="BH80" s="203">
        <f t="shared" si="96"/>
        <v>0</v>
      </c>
    </row>
    <row r="81" spans="2:60" x14ac:dyDescent="0.2">
      <c r="B81" s="68"/>
      <c r="C81" s="89">
        <v>42123</v>
      </c>
      <c r="D81" s="70"/>
      <c r="E81" s="71" t="s">
        <v>181</v>
      </c>
      <c r="F81" s="72"/>
      <c r="G81" s="90">
        <v>0.25</v>
      </c>
      <c r="H81" s="74">
        <v>1275000</v>
      </c>
      <c r="I81" s="74"/>
      <c r="J81" s="74"/>
      <c r="K81" s="74">
        <f t="shared" si="71"/>
        <v>1275000</v>
      </c>
      <c r="L81" s="74"/>
      <c r="M81" s="74"/>
      <c r="N81" s="74">
        <f t="shared" si="72"/>
        <v>1275000</v>
      </c>
      <c r="O81" s="91">
        <f t="shared" si="73"/>
        <v>4</v>
      </c>
      <c r="P81" s="72">
        <f t="shared" si="69"/>
        <v>48</v>
      </c>
      <c r="Q81" s="72">
        <f t="shared" si="74"/>
        <v>4</v>
      </c>
      <c r="R81" s="92">
        <f t="shared" si="75"/>
        <v>2015</v>
      </c>
      <c r="S81" s="93">
        <f t="shared" si="76"/>
        <v>3</v>
      </c>
      <c r="T81" s="94">
        <f t="shared" si="77"/>
        <v>2019</v>
      </c>
      <c r="U81" s="96">
        <f t="shared" si="70"/>
        <v>26562.5</v>
      </c>
      <c r="V81" s="73">
        <v>0</v>
      </c>
      <c r="W81" s="73">
        <v>48</v>
      </c>
      <c r="X81" s="96">
        <f t="shared" si="78"/>
        <v>0</v>
      </c>
      <c r="Y81" s="96">
        <v>1275000</v>
      </c>
      <c r="Z81" s="96">
        <f t="shared" si="79"/>
        <v>0</v>
      </c>
      <c r="AA81" s="73">
        <f t="shared" si="80"/>
        <v>0</v>
      </c>
      <c r="AB81" s="73">
        <f t="shared" si="97"/>
        <v>48</v>
      </c>
      <c r="AC81" s="96">
        <f t="shared" si="81"/>
        <v>0</v>
      </c>
      <c r="AD81" s="96">
        <f t="shared" si="98"/>
        <v>1275000</v>
      </c>
      <c r="AE81" s="96">
        <f t="shared" si="82"/>
        <v>0</v>
      </c>
      <c r="AF81" s="73">
        <f t="shared" si="112"/>
        <v>0</v>
      </c>
      <c r="AG81" s="73">
        <f t="shared" si="99"/>
        <v>48</v>
      </c>
      <c r="AH81" s="96">
        <f t="shared" si="100"/>
        <v>0</v>
      </c>
      <c r="AI81" s="96">
        <f t="shared" si="83"/>
        <v>1275000</v>
      </c>
      <c r="AJ81" s="96">
        <f t="shared" si="84"/>
        <v>0</v>
      </c>
      <c r="AK81" s="73">
        <f t="shared" si="101"/>
        <v>0</v>
      </c>
      <c r="AL81" s="73">
        <f t="shared" si="102"/>
        <v>48</v>
      </c>
      <c r="AM81" s="96">
        <f t="shared" si="103"/>
        <v>0</v>
      </c>
      <c r="AN81" s="96">
        <f t="shared" si="104"/>
        <v>1275000</v>
      </c>
      <c r="AO81" s="96">
        <f t="shared" si="105"/>
        <v>0</v>
      </c>
      <c r="AP81" s="73">
        <f t="shared" si="106"/>
        <v>0</v>
      </c>
      <c r="AQ81" s="73">
        <f t="shared" si="107"/>
        <v>48</v>
      </c>
      <c r="AR81" s="96">
        <f t="shared" si="108"/>
        <v>0</v>
      </c>
      <c r="AS81" s="96">
        <f t="shared" si="109"/>
        <v>1275000</v>
      </c>
      <c r="AT81" s="96">
        <f t="shared" si="110"/>
        <v>0</v>
      </c>
      <c r="AU81" s="60"/>
      <c r="AV81" s="202">
        <f t="shared" si="111"/>
        <v>0</v>
      </c>
      <c r="AW81" s="203">
        <f t="shared" si="85"/>
        <v>0</v>
      </c>
      <c r="AX81" s="203">
        <f t="shared" si="86"/>
        <v>0</v>
      </c>
      <c r="AY81" s="203">
        <f t="shared" si="87"/>
        <v>0</v>
      </c>
      <c r="AZ81" s="203">
        <f t="shared" si="88"/>
        <v>0</v>
      </c>
      <c r="BA81" s="203">
        <f t="shared" si="89"/>
        <v>0</v>
      </c>
      <c r="BB81" s="203">
        <f t="shared" si="90"/>
        <v>0</v>
      </c>
      <c r="BC81" s="203">
        <f t="shared" si="91"/>
        <v>0</v>
      </c>
      <c r="BD81" s="203">
        <f t="shared" si="92"/>
        <v>0</v>
      </c>
      <c r="BE81" s="203">
        <f t="shared" si="93"/>
        <v>0</v>
      </c>
      <c r="BF81" s="203">
        <f t="shared" si="94"/>
        <v>0</v>
      </c>
      <c r="BG81" s="203">
        <f t="shared" si="95"/>
        <v>0</v>
      </c>
      <c r="BH81" s="203">
        <f t="shared" si="96"/>
        <v>0</v>
      </c>
    </row>
    <row r="82" spans="2:60" x14ac:dyDescent="0.2">
      <c r="B82" s="68"/>
      <c r="C82" s="89">
        <v>42146</v>
      </c>
      <c r="D82" s="70"/>
      <c r="E82" s="71" t="s">
        <v>182</v>
      </c>
      <c r="F82" s="72"/>
      <c r="G82" s="90">
        <v>0.25</v>
      </c>
      <c r="H82" s="74">
        <v>2550000</v>
      </c>
      <c r="I82" s="74"/>
      <c r="J82" s="74"/>
      <c r="K82" s="74">
        <f t="shared" si="71"/>
        <v>2550000</v>
      </c>
      <c r="L82" s="74"/>
      <c r="M82" s="74"/>
      <c r="N82" s="74">
        <f t="shared" si="72"/>
        <v>2550000</v>
      </c>
      <c r="O82" s="91">
        <f t="shared" si="73"/>
        <v>4</v>
      </c>
      <c r="P82" s="72">
        <f t="shared" si="69"/>
        <v>48</v>
      </c>
      <c r="Q82" s="72">
        <f t="shared" si="74"/>
        <v>5</v>
      </c>
      <c r="R82" s="92">
        <f t="shared" si="75"/>
        <v>2015</v>
      </c>
      <c r="S82" s="93">
        <f t="shared" si="76"/>
        <v>4</v>
      </c>
      <c r="T82" s="94">
        <f t="shared" si="77"/>
        <v>2019</v>
      </c>
      <c r="U82" s="96">
        <f t="shared" si="70"/>
        <v>53125</v>
      </c>
      <c r="V82" s="73">
        <v>0</v>
      </c>
      <c r="W82" s="73">
        <v>48</v>
      </c>
      <c r="X82" s="96">
        <f t="shared" si="78"/>
        <v>0</v>
      </c>
      <c r="Y82" s="96">
        <v>2550000</v>
      </c>
      <c r="Z82" s="96">
        <f t="shared" si="79"/>
        <v>0</v>
      </c>
      <c r="AA82" s="73">
        <f t="shared" si="80"/>
        <v>0</v>
      </c>
      <c r="AB82" s="73">
        <f t="shared" si="97"/>
        <v>48</v>
      </c>
      <c r="AC82" s="96">
        <f t="shared" si="81"/>
        <v>0</v>
      </c>
      <c r="AD82" s="96">
        <f t="shared" si="98"/>
        <v>2550000</v>
      </c>
      <c r="AE82" s="96">
        <f t="shared" si="82"/>
        <v>0</v>
      </c>
      <c r="AF82" s="73">
        <f t="shared" si="112"/>
        <v>0</v>
      </c>
      <c r="AG82" s="73">
        <f t="shared" si="99"/>
        <v>48</v>
      </c>
      <c r="AH82" s="96">
        <f t="shared" si="100"/>
        <v>0</v>
      </c>
      <c r="AI82" s="96">
        <f t="shared" si="83"/>
        <v>2550000</v>
      </c>
      <c r="AJ82" s="96">
        <f t="shared" si="84"/>
        <v>0</v>
      </c>
      <c r="AK82" s="73">
        <f t="shared" si="101"/>
        <v>0</v>
      </c>
      <c r="AL82" s="73">
        <f t="shared" si="102"/>
        <v>48</v>
      </c>
      <c r="AM82" s="96">
        <f t="shared" si="103"/>
        <v>0</v>
      </c>
      <c r="AN82" s="96">
        <f t="shared" si="104"/>
        <v>2550000</v>
      </c>
      <c r="AO82" s="96">
        <f t="shared" si="105"/>
        <v>0</v>
      </c>
      <c r="AP82" s="73">
        <f t="shared" si="106"/>
        <v>0</v>
      </c>
      <c r="AQ82" s="73">
        <f t="shared" si="107"/>
        <v>48</v>
      </c>
      <c r="AR82" s="96">
        <f t="shared" si="108"/>
        <v>0</v>
      </c>
      <c r="AS82" s="96">
        <f t="shared" si="109"/>
        <v>2550000</v>
      </c>
      <c r="AT82" s="96">
        <f t="shared" si="110"/>
        <v>0</v>
      </c>
      <c r="AU82" s="60"/>
      <c r="AV82" s="202">
        <f t="shared" si="111"/>
        <v>0</v>
      </c>
      <c r="AW82" s="203">
        <f t="shared" si="85"/>
        <v>0</v>
      </c>
      <c r="AX82" s="203">
        <f t="shared" si="86"/>
        <v>0</v>
      </c>
      <c r="AY82" s="203">
        <f t="shared" si="87"/>
        <v>0</v>
      </c>
      <c r="AZ82" s="203">
        <f t="shared" si="88"/>
        <v>0</v>
      </c>
      <c r="BA82" s="203">
        <f t="shared" si="89"/>
        <v>0</v>
      </c>
      <c r="BB82" s="203">
        <f t="shared" si="90"/>
        <v>0</v>
      </c>
      <c r="BC82" s="203">
        <f t="shared" si="91"/>
        <v>0</v>
      </c>
      <c r="BD82" s="203">
        <f t="shared" si="92"/>
        <v>0</v>
      </c>
      <c r="BE82" s="203">
        <f t="shared" si="93"/>
        <v>0</v>
      </c>
      <c r="BF82" s="203">
        <f t="shared" si="94"/>
        <v>0</v>
      </c>
      <c r="BG82" s="203">
        <f t="shared" si="95"/>
        <v>0</v>
      </c>
      <c r="BH82" s="203">
        <f t="shared" si="96"/>
        <v>0</v>
      </c>
    </row>
    <row r="83" spans="2:60" x14ac:dyDescent="0.2">
      <c r="B83" s="68"/>
      <c r="C83" s="89">
        <v>42171</v>
      </c>
      <c r="D83" s="70"/>
      <c r="E83" s="71" t="s">
        <v>183</v>
      </c>
      <c r="F83" s="72"/>
      <c r="G83" s="90">
        <v>0.25</v>
      </c>
      <c r="H83" s="74">
        <v>6060000</v>
      </c>
      <c r="I83" s="74"/>
      <c r="J83" s="74"/>
      <c r="K83" s="74">
        <f t="shared" si="71"/>
        <v>6060000</v>
      </c>
      <c r="L83" s="74"/>
      <c r="M83" s="74"/>
      <c r="N83" s="74">
        <f t="shared" si="72"/>
        <v>6060000</v>
      </c>
      <c r="O83" s="91">
        <f t="shared" si="73"/>
        <v>4</v>
      </c>
      <c r="P83" s="72">
        <f t="shared" si="69"/>
        <v>48</v>
      </c>
      <c r="Q83" s="72">
        <f t="shared" si="74"/>
        <v>6</v>
      </c>
      <c r="R83" s="92">
        <f t="shared" si="75"/>
        <v>2015</v>
      </c>
      <c r="S83" s="93">
        <f t="shared" si="76"/>
        <v>5</v>
      </c>
      <c r="T83" s="94">
        <f t="shared" si="77"/>
        <v>2019</v>
      </c>
      <c r="U83" s="96">
        <f t="shared" si="70"/>
        <v>126250</v>
      </c>
      <c r="V83" s="73">
        <v>0</v>
      </c>
      <c r="W83" s="73">
        <v>48</v>
      </c>
      <c r="X83" s="96">
        <f t="shared" si="78"/>
        <v>0</v>
      </c>
      <c r="Y83" s="96">
        <v>6060000</v>
      </c>
      <c r="Z83" s="96">
        <f t="shared" si="79"/>
        <v>0</v>
      </c>
      <c r="AA83" s="73">
        <f t="shared" si="80"/>
        <v>0</v>
      </c>
      <c r="AB83" s="73">
        <f t="shared" si="97"/>
        <v>48</v>
      </c>
      <c r="AC83" s="96">
        <f t="shared" si="81"/>
        <v>0</v>
      </c>
      <c r="AD83" s="96">
        <f t="shared" si="98"/>
        <v>6060000</v>
      </c>
      <c r="AE83" s="96">
        <f t="shared" si="82"/>
        <v>0</v>
      </c>
      <c r="AF83" s="73">
        <f t="shared" si="112"/>
        <v>0</v>
      </c>
      <c r="AG83" s="73">
        <f t="shared" si="99"/>
        <v>48</v>
      </c>
      <c r="AH83" s="96">
        <f t="shared" si="100"/>
        <v>0</v>
      </c>
      <c r="AI83" s="96">
        <f t="shared" si="83"/>
        <v>6060000</v>
      </c>
      <c r="AJ83" s="96">
        <f t="shared" si="84"/>
        <v>0</v>
      </c>
      <c r="AK83" s="73">
        <f t="shared" si="101"/>
        <v>0</v>
      </c>
      <c r="AL83" s="73">
        <f t="shared" si="102"/>
        <v>48</v>
      </c>
      <c r="AM83" s="96">
        <f t="shared" si="103"/>
        <v>0</v>
      </c>
      <c r="AN83" s="96">
        <f t="shared" si="104"/>
        <v>6060000</v>
      </c>
      <c r="AO83" s="96">
        <f t="shared" si="105"/>
        <v>0</v>
      </c>
      <c r="AP83" s="73">
        <f t="shared" si="106"/>
        <v>0</v>
      </c>
      <c r="AQ83" s="73">
        <f t="shared" si="107"/>
        <v>48</v>
      </c>
      <c r="AR83" s="96">
        <f t="shared" si="108"/>
        <v>0</v>
      </c>
      <c r="AS83" s="96">
        <f t="shared" si="109"/>
        <v>6060000</v>
      </c>
      <c r="AT83" s="96">
        <f t="shared" si="110"/>
        <v>0</v>
      </c>
      <c r="AU83" s="60"/>
      <c r="AV83" s="202">
        <f t="shared" si="111"/>
        <v>0</v>
      </c>
      <c r="AW83" s="203">
        <f t="shared" si="85"/>
        <v>0</v>
      </c>
      <c r="AX83" s="203">
        <f t="shared" si="86"/>
        <v>0</v>
      </c>
      <c r="AY83" s="203">
        <f t="shared" si="87"/>
        <v>0</v>
      </c>
      <c r="AZ83" s="203">
        <f t="shared" si="88"/>
        <v>0</v>
      </c>
      <c r="BA83" s="203">
        <f t="shared" si="89"/>
        <v>0</v>
      </c>
      <c r="BB83" s="203">
        <f t="shared" si="90"/>
        <v>0</v>
      </c>
      <c r="BC83" s="203">
        <f t="shared" si="91"/>
        <v>0</v>
      </c>
      <c r="BD83" s="203">
        <f t="shared" si="92"/>
        <v>0</v>
      </c>
      <c r="BE83" s="203">
        <f t="shared" si="93"/>
        <v>0</v>
      </c>
      <c r="BF83" s="203">
        <f t="shared" si="94"/>
        <v>0</v>
      </c>
      <c r="BG83" s="203">
        <f t="shared" si="95"/>
        <v>0</v>
      </c>
      <c r="BH83" s="203">
        <f t="shared" si="96"/>
        <v>0</v>
      </c>
    </row>
    <row r="84" spans="2:60" x14ac:dyDescent="0.2">
      <c r="B84" s="68"/>
      <c r="C84" s="89">
        <v>42194</v>
      </c>
      <c r="D84" s="70"/>
      <c r="E84" s="71" t="s">
        <v>184</v>
      </c>
      <c r="F84" s="72"/>
      <c r="G84" s="90">
        <v>0.25</v>
      </c>
      <c r="H84" s="74">
        <v>5190000</v>
      </c>
      <c r="I84" s="74"/>
      <c r="J84" s="74"/>
      <c r="K84" s="74">
        <f t="shared" si="71"/>
        <v>5190000</v>
      </c>
      <c r="L84" s="74"/>
      <c r="M84" s="74"/>
      <c r="N84" s="74">
        <f t="shared" si="72"/>
        <v>5190000</v>
      </c>
      <c r="O84" s="91">
        <f t="shared" si="73"/>
        <v>4</v>
      </c>
      <c r="P84" s="72">
        <f t="shared" si="69"/>
        <v>48</v>
      </c>
      <c r="Q84" s="72">
        <f t="shared" si="74"/>
        <v>7</v>
      </c>
      <c r="R84" s="92">
        <f t="shared" si="75"/>
        <v>2015</v>
      </c>
      <c r="S84" s="93">
        <f t="shared" si="76"/>
        <v>6</v>
      </c>
      <c r="T84" s="94">
        <f t="shared" si="77"/>
        <v>2019</v>
      </c>
      <c r="U84" s="96">
        <f t="shared" si="70"/>
        <v>108125</v>
      </c>
      <c r="V84" s="73">
        <v>0</v>
      </c>
      <c r="W84" s="73">
        <v>48</v>
      </c>
      <c r="X84" s="96">
        <f t="shared" si="78"/>
        <v>0</v>
      </c>
      <c r="Y84" s="96">
        <v>5190000</v>
      </c>
      <c r="Z84" s="96">
        <f t="shared" si="79"/>
        <v>0</v>
      </c>
      <c r="AA84" s="73">
        <f t="shared" si="80"/>
        <v>0</v>
      </c>
      <c r="AB84" s="73">
        <f t="shared" si="97"/>
        <v>48</v>
      </c>
      <c r="AC84" s="96">
        <f t="shared" si="81"/>
        <v>0</v>
      </c>
      <c r="AD84" s="96">
        <f t="shared" si="98"/>
        <v>5190000</v>
      </c>
      <c r="AE84" s="96">
        <f t="shared" si="82"/>
        <v>0</v>
      </c>
      <c r="AF84" s="73">
        <f t="shared" si="112"/>
        <v>0</v>
      </c>
      <c r="AG84" s="73">
        <f t="shared" si="99"/>
        <v>48</v>
      </c>
      <c r="AH84" s="96">
        <f t="shared" si="100"/>
        <v>0</v>
      </c>
      <c r="AI84" s="96">
        <f t="shared" si="83"/>
        <v>5190000</v>
      </c>
      <c r="AJ84" s="96">
        <f t="shared" si="84"/>
        <v>0</v>
      </c>
      <c r="AK84" s="73">
        <f t="shared" si="101"/>
        <v>0</v>
      </c>
      <c r="AL84" s="73">
        <f t="shared" si="102"/>
        <v>48</v>
      </c>
      <c r="AM84" s="96">
        <f t="shared" si="103"/>
        <v>0</v>
      </c>
      <c r="AN84" s="96">
        <f t="shared" si="104"/>
        <v>5190000</v>
      </c>
      <c r="AO84" s="96">
        <f t="shared" si="105"/>
        <v>0</v>
      </c>
      <c r="AP84" s="73">
        <f t="shared" si="106"/>
        <v>0</v>
      </c>
      <c r="AQ84" s="73">
        <f t="shared" si="107"/>
        <v>48</v>
      </c>
      <c r="AR84" s="96">
        <f t="shared" si="108"/>
        <v>0</v>
      </c>
      <c r="AS84" s="96">
        <f t="shared" si="109"/>
        <v>5190000</v>
      </c>
      <c r="AT84" s="96">
        <f t="shared" si="110"/>
        <v>0</v>
      </c>
      <c r="AU84" s="60"/>
      <c r="AV84" s="202">
        <f t="shared" si="111"/>
        <v>0</v>
      </c>
      <c r="AW84" s="203">
        <f t="shared" si="85"/>
        <v>0</v>
      </c>
      <c r="AX84" s="203">
        <f t="shared" si="86"/>
        <v>0</v>
      </c>
      <c r="AY84" s="203">
        <f t="shared" si="87"/>
        <v>0</v>
      </c>
      <c r="AZ84" s="203">
        <f t="shared" si="88"/>
        <v>0</v>
      </c>
      <c r="BA84" s="203">
        <f t="shared" si="89"/>
        <v>0</v>
      </c>
      <c r="BB84" s="203">
        <f t="shared" si="90"/>
        <v>0</v>
      </c>
      <c r="BC84" s="203">
        <f t="shared" si="91"/>
        <v>0</v>
      </c>
      <c r="BD84" s="203">
        <f t="shared" si="92"/>
        <v>0</v>
      </c>
      <c r="BE84" s="203">
        <f t="shared" si="93"/>
        <v>0</v>
      </c>
      <c r="BF84" s="203">
        <f t="shared" si="94"/>
        <v>0</v>
      </c>
      <c r="BG84" s="203">
        <f t="shared" si="95"/>
        <v>0</v>
      </c>
      <c r="BH84" s="203">
        <f t="shared" si="96"/>
        <v>0</v>
      </c>
    </row>
    <row r="85" spans="2:60" x14ac:dyDescent="0.2">
      <c r="B85" s="68"/>
      <c r="C85" s="89">
        <v>42186</v>
      </c>
      <c r="D85" s="70"/>
      <c r="E85" s="71" t="s">
        <v>185</v>
      </c>
      <c r="F85" s="72"/>
      <c r="G85" s="90">
        <v>0.25</v>
      </c>
      <c r="H85" s="74">
        <v>285000</v>
      </c>
      <c r="I85" s="74"/>
      <c r="J85" s="74"/>
      <c r="K85" s="74">
        <f t="shared" si="71"/>
        <v>285000</v>
      </c>
      <c r="L85" s="74"/>
      <c r="M85" s="74"/>
      <c r="N85" s="74">
        <f t="shared" si="72"/>
        <v>285000</v>
      </c>
      <c r="O85" s="91">
        <f t="shared" si="73"/>
        <v>4</v>
      </c>
      <c r="P85" s="72">
        <f t="shared" si="69"/>
        <v>48</v>
      </c>
      <c r="Q85" s="72">
        <f t="shared" si="74"/>
        <v>7</v>
      </c>
      <c r="R85" s="92">
        <f t="shared" si="75"/>
        <v>2015</v>
      </c>
      <c r="S85" s="93">
        <f t="shared" si="76"/>
        <v>6</v>
      </c>
      <c r="T85" s="94">
        <f t="shared" si="77"/>
        <v>2019</v>
      </c>
      <c r="U85" s="96">
        <f t="shared" si="70"/>
        <v>5937.5</v>
      </c>
      <c r="V85" s="73">
        <v>0</v>
      </c>
      <c r="W85" s="73">
        <v>48</v>
      </c>
      <c r="X85" s="96">
        <f t="shared" si="78"/>
        <v>0</v>
      </c>
      <c r="Y85" s="96">
        <v>285000</v>
      </c>
      <c r="Z85" s="96">
        <f t="shared" si="79"/>
        <v>0</v>
      </c>
      <c r="AA85" s="73">
        <f t="shared" si="80"/>
        <v>0</v>
      </c>
      <c r="AB85" s="73">
        <f t="shared" si="97"/>
        <v>48</v>
      </c>
      <c r="AC85" s="96">
        <f t="shared" si="81"/>
        <v>0</v>
      </c>
      <c r="AD85" s="96">
        <f t="shared" si="98"/>
        <v>285000</v>
      </c>
      <c r="AE85" s="96">
        <f t="shared" si="82"/>
        <v>0</v>
      </c>
      <c r="AF85" s="73">
        <f t="shared" si="112"/>
        <v>0</v>
      </c>
      <c r="AG85" s="73">
        <f t="shared" si="99"/>
        <v>48</v>
      </c>
      <c r="AH85" s="96">
        <f t="shared" si="100"/>
        <v>0</v>
      </c>
      <c r="AI85" s="96">
        <f t="shared" si="83"/>
        <v>285000</v>
      </c>
      <c r="AJ85" s="96">
        <f t="shared" si="84"/>
        <v>0</v>
      </c>
      <c r="AK85" s="73">
        <f t="shared" si="101"/>
        <v>0</v>
      </c>
      <c r="AL85" s="73">
        <f t="shared" si="102"/>
        <v>48</v>
      </c>
      <c r="AM85" s="96">
        <f t="shared" si="103"/>
        <v>0</v>
      </c>
      <c r="AN85" s="96">
        <f t="shared" si="104"/>
        <v>285000</v>
      </c>
      <c r="AO85" s="96">
        <f t="shared" si="105"/>
        <v>0</v>
      </c>
      <c r="AP85" s="73">
        <f t="shared" si="106"/>
        <v>0</v>
      </c>
      <c r="AQ85" s="73">
        <f t="shared" si="107"/>
        <v>48</v>
      </c>
      <c r="AR85" s="96">
        <f t="shared" si="108"/>
        <v>0</v>
      </c>
      <c r="AS85" s="96">
        <f t="shared" si="109"/>
        <v>285000</v>
      </c>
      <c r="AT85" s="96">
        <f t="shared" si="110"/>
        <v>0</v>
      </c>
      <c r="AU85" s="60"/>
      <c r="AV85" s="202">
        <f t="shared" si="111"/>
        <v>0</v>
      </c>
      <c r="AW85" s="203">
        <f t="shared" si="85"/>
        <v>0</v>
      </c>
      <c r="AX85" s="203">
        <f t="shared" si="86"/>
        <v>0</v>
      </c>
      <c r="AY85" s="203">
        <f t="shared" si="87"/>
        <v>0</v>
      </c>
      <c r="AZ85" s="203">
        <f t="shared" si="88"/>
        <v>0</v>
      </c>
      <c r="BA85" s="203">
        <f t="shared" si="89"/>
        <v>0</v>
      </c>
      <c r="BB85" s="203">
        <f t="shared" si="90"/>
        <v>0</v>
      </c>
      <c r="BC85" s="203">
        <f t="shared" si="91"/>
        <v>0</v>
      </c>
      <c r="BD85" s="203">
        <f t="shared" si="92"/>
        <v>0</v>
      </c>
      <c r="BE85" s="203">
        <f t="shared" si="93"/>
        <v>0</v>
      </c>
      <c r="BF85" s="203">
        <f t="shared" si="94"/>
        <v>0</v>
      </c>
      <c r="BG85" s="203">
        <f t="shared" si="95"/>
        <v>0</v>
      </c>
      <c r="BH85" s="203">
        <f t="shared" si="96"/>
        <v>0</v>
      </c>
    </row>
    <row r="86" spans="2:60" x14ac:dyDescent="0.2">
      <c r="B86" s="68"/>
      <c r="C86" s="89">
        <v>42215</v>
      </c>
      <c r="D86" s="70"/>
      <c r="E86" s="71" t="s">
        <v>186</v>
      </c>
      <c r="F86" s="72"/>
      <c r="G86" s="90">
        <v>0.25</v>
      </c>
      <c r="H86" s="74">
        <v>415000</v>
      </c>
      <c r="I86" s="74"/>
      <c r="J86" s="74"/>
      <c r="K86" s="74">
        <f t="shared" si="71"/>
        <v>415000</v>
      </c>
      <c r="L86" s="74"/>
      <c r="M86" s="74"/>
      <c r="N86" s="74">
        <f t="shared" si="72"/>
        <v>415000</v>
      </c>
      <c r="O86" s="91">
        <f t="shared" si="73"/>
        <v>4</v>
      </c>
      <c r="P86" s="72">
        <f t="shared" si="67"/>
        <v>48</v>
      </c>
      <c r="Q86" s="72">
        <f t="shared" si="74"/>
        <v>7</v>
      </c>
      <c r="R86" s="92">
        <f t="shared" si="75"/>
        <v>2015</v>
      </c>
      <c r="S86" s="93">
        <f t="shared" si="76"/>
        <v>6</v>
      </c>
      <c r="T86" s="94">
        <f t="shared" si="77"/>
        <v>2019</v>
      </c>
      <c r="U86" s="96">
        <f t="shared" si="68"/>
        <v>8645.8333333333339</v>
      </c>
      <c r="V86" s="73">
        <v>0</v>
      </c>
      <c r="W86" s="73">
        <v>48</v>
      </c>
      <c r="X86" s="96">
        <f t="shared" si="78"/>
        <v>0</v>
      </c>
      <c r="Y86" s="96">
        <v>415000</v>
      </c>
      <c r="Z86" s="96">
        <f t="shared" si="79"/>
        <v>0</v>
      </c>
      <c r="AA86" s="73">
        <f t="shared" si="80"/>
        <v>0</v>
      </c>
      <c r="AB86" s="73">
        <f t="shared" si="97"/>
        <v>48</v>
      </c>
      <c r="AC86" s="96">
        <f t="shared" si="81"/>
        <v>0</v>
      </c>
      <c r="AD86" s="96">
        <f t="shared" si="98"/>
        <v>415000</v>
      </c>
      <c r="AE86" s="96">
        <f t="shared" si="82"/>
        <v>0</v>
      </c>
      <c r="AF86" s="73">
        <f t="shared" si="112"/>
        <v>0</v>
      </c>
      <c r="AG86" s="73">
        <f t="shared" si="99"/>
        <v>48</v>
      </c>
      <c r="AH86" s="96">
        <f t="shared" si="100"/>
        <v>0</v>
      </c>
      <c r="AI86" s="96">
        <f t="shared" si="83"/>
        <v>415000</v>
      </c>
      <c r="AJ86" s="96">
        <f t="shared" si="84"/>
        <v>0</v>
      </c>
      <c r="AK86" s="73">
        <f t="shared" si="101"/>
        <v>0</v>
      </c>
      <c r="AL86" s="73">
        <f t="shared" si="102"/>
        <v>48</v>
      </c>
      <c r="AM86" s="96">
        <f t="shared" si="103"/>
        <v>0</v>
      </c>
      <c r="AN86" s="96">
        <f t="shared" si="104"/>
        <v>415000</v>
      </c>
      <c r="AO86" s="96">
        <f t="shared" si="105"/>
        <v>0</v>
      </c>
      <c r="AP86" s="73">
        <f t="shared" si="106"/>
        <v>0</v>
      </c>
      <c r="AQ86" s="73">
        <f t="shared" si="107"/>
        <v>48</v>
      </c>
      <c r="AR86" s="96">
        <f t="shared" si="108"/>
        <v>0</v>
      </c>
      <c r="AS86" s="96">
        <f t="shared" si="109"/>
        <v>415000</v>
      </c>
      <c r="AT86" s="96">
        <f t="shared" si="110"/>
        <v>0</v>
      </c>
      <c r="AU86" s="60"/>
      <c r="AV86" s="202">
        <f t="shared" si="111"/>
        <v>0</v>
      </c>
      <c r="AW86" s="203">
        <f t="shared" si="85"/>
        <v>0</v>
      </c>
      <c r="AX86" s="203">
        <f t="shared" si="86"/>
        <v>0</v>
      </c>
      <c r="AY86" s="203">
        <f t="shared" si="87"/>
        <v>0</v>
      </c>
      <c r="AZ86" s="203">
        <f t="shared" si="88"/>
        <v>0</v>
      </c>
      <c r="BA86" s="203">
        <f t="shared" si="89"/>
        <v>0</v>
      </c>
      <c r="BB86" s="203">
        <f t="shared" si="90"/>
        <v>0</v>
      </c>
      <c r="BC86" s="203">
        <f t="shared" si="91"/>
        <v>0</v>
      </c>
      <c r="BD86" s="203">
        <f t="shared" si="92"/>
        <v>0</v>
      </c>
      <c r="BE86" s="203">
        <f t="shared" si="93"/>
        <v>0</v>
      </c>
      <c r="BF86" s="203">
        <f t="shared" si="94"/>
        <v>0</v>
      </c>
      <c r="BG86" s="203">
        <f t="shared" si="95"/>
        <v>0</v>
      </c>
      <c r="BH86" s="203">
        <f t="shared" si="96"/>
        <v>0</v>
      </c>
    </row>
    <row r="87" spans="2:60" x14ac:dyDescent="0.2">
      <c r="B87" s="68"/>
      <c r="C87" s="89">
        <v>42246</v>
      </c>
      <c r="D87" s="70"/>
      <c r="E87" s="71" t="s">
        <v>187</v>
      </c>
      <c r="F87" s="72"/>
      <c r="G87" s="90">
        <v>0.25</v>
      </c>
      <c r="H87" s="74">
        <v>1250000</v>
      </c>
      <c r="I87" s="74"/>
      <c r="J87" s="74"/>
      <c r="K87" s="74">
        <f t="shared" si="71"/>
        <v>1250000</v>
      </c>
      <c r="L87" s="74"/>
      <c r="M87" s="74"/>
      <c r="N87" s="74">
        <f t="shared" si="72"/>
        <v>1250000</v>
      </c>
      <c r="O87" s="91">
        <f t="shared" si="73"/>
        <v>4</v>
      </c>
      <c r="P87" s="72">
        <f t="shared" si="67"/>
        <v>48</v>
      </c>
      <c r="Q87" s="72">
        <f t="shared" si="74"/>
        <v>8</v>
      </c>
      <c r="R87" s="92">
        <f t="shared" si="75"/>
        <v>2015</v>
      </c>
      <c r="S87" s="93">
        <f t="shared" si="76"/>
        <v>7</v>
      </c>
      <c r="T87" s="94">
        <f t="shared" si="77"/>
        <v>2019</v>
      </c>
      <c r="U87" s="96">
        <f t="shared" si="68"/>
        <v>26041.666666666668</v>
      </c>
      <c r="V87" s="73">
        <v>0</v>
      </c>
      <c r="W87" s="73">
        <v>48</v>
      </c>
      <c r="X87" s="96">
        <f t="shared" si="78"/>
        <v>0</v>
      </c>
      <c r="Y87" s="96">
        <v>1250000.0000000002</v>
      </c>
      <c r="Z87" s="96">
        <f t="shared" si="79"/>
        <v>0</v>
      </c>
      <c r="AA87" s="73">
        <f t="shared" si="80"/>
        <v>0</v>
      </c>
      <c r="AB87" s="73">
        <f t="shared" si="97"/>
        <v>48</v>
      </c>
      <c r="AC87" s="96">
        <f t="shared" si="81"/>
        <v>0</v>
      </c>
      <c r="AD87" s="96">
        <f t="shared" si="98"/>
        <v>1250000.0000000002</v>
      </c>
      <c r="AE87" s="96">
        <f t="shared" si="82"/>
        <v>0</v>
      </c>
      <c r="AF87" s="73">
        <f t="shared" si="112"/>
        <v>0</v>
      </c>
      <c r="AG87" s="73">
        <f t="shared" si="99"/>
        <v>48</v>
      </c>
      <c r="AH87" s="96">
        <f t="shared" si="100"/>
        <v>0</v>
      </c>
      <c r="AI87" s="96">
        <f t="shared" si="83"/>
        <v>1250000.0000000002</v>
      </c>
      <c r="AJ87" s="96">
        <f t="shared" si="84"/>
        <v>0</v>
      </c>
      <c r="AK87" s="73">
        <f t="shared" si="101"/>
        <v>0</v>
      </c>
      <c r="AL87" s="73">
        <f t="shared" si="102"/>
        <v>48</v>
      </c>
      <c r="AM87" s="96">
        <f t="shared" si="103"/>
        <v>0</v>
      </c>
      <c r="AN87" s="96">
        <f t="shared" si="104"/>
        <v>1250000.0000000002</v>
      </c>
      <c r="AO87" s="96">
        <f t="shared" si="105"/>
        <v>0</v>
      </c>
      <c r="AP87" s="73">
        <f t="shared" si="106"/>
        <v>0</v>
      </c>
      <c r="AQ87" s="73">
        <f t="shared" si="107"/>
        <v>48</v>
      </c>
      <c r="AR87" s="96">
        <f t="shared" si="108"/>
        <v>0</v>
      </c>
      <c r="AS87" s="96">
        <f t="shared" si="109"/>
        <v>1250000.0000000002</v>
      </c>
      <c r="AT87" s="96">
        <f t="shared" si="110"/>
        <v>0</v>
      </c>
      <c r="AU87" s="60"/>
      <c r="AV87" s="202">
        <f t="shared" si="111"/>
        <v>0</v>
      </c>
      <c r="AW87" s="203">
        <f t="shared" si="85"/>
        <v>0</v>
      </c>
      <c r="AX87" s="203">
        <f t="shared" si="86"/>
        <v>0</v>
      </c>
      <c r="AY87" s="203">
        <f t="shared" si="87"/>
        <v>0</v>
      </c>
      <c r="AZ87" s="203">
        <f t="shared" si="88"/>
        <v>0</v>
      </c>
      <c r="BA87" s="203">
        <f t="shared" si="89"/>
        <v>0</v>
      </c>
      <c r="BB87" s="203">
        <f t="shared" si="90"/>
        <v>0</v>
      </c>
      <c r="BC87" s="203">
        <f t="shared" si="91"/>
        <v>0</v>
      </c>
      <c r="BD87" s="203">
        <f t="shared" si="92"/>
        <v>0</v>
      </c>
      <c r="BE87" s="203">
        <f t="shared" si="93"/>
        <v>0</v>
      </c>
      <c r="BF87" s="203">
        <f t="shared" si="94"/>
        <v>0</v>
      </c>
      <c r="BG87" s="203">
        <f t="shared" si="95"/>
        <v>0</v>
      </c>
      <c r="BH87" s="203">
        <f t="shared" si="96"/>
        <v>0</v>
      </c>
    </row>
    <row r="88" spans="2:60" x14ac:dyDescent="0.2">
      <c r="B88" s="68"/>
      <c r="C88" s="89">
        <v>42348</v>
      </c>
      <c r="D88" s="70"/>
      <c r="E88" s="71" t="s">
        <v>188</v>
      </c>
      <c r="F88" s="72"/>
      <c r="G88" s="90">
        <v>0.25</v>
      </c>
      <c r="H88" s="74">
        <v>7153637</v>
      </c>
      <c r="I88" s="74"/>
      <c r="J88" s="74"/>
      <c r="K88" s="74">
        <f t="shared" si="71"/>
        <v>7153637</v>
      </c>
      <c r="L88" s="74"/>
      <c r="M88" s="74"/>
      <c r="N88" s="74">
        <f t="shared" si="72"/>
        <v>7153637</v>
      </c>
      <c r="O88" s="91">
        <f t="shared" si="73"/>
        <v>4</v>
      </c>
      <c r="P88" s="72">
        <f t="shared" si="67"/>
        <v>48</v>
      </c>
      <c r="Q88" s="72">
        <f t="shared" si="74"/>
        <v>12</v>
      </c>
      <c r="R88" s="92">
        <f t="shared" si="75"/>
        <v>2015</v>
      </c>
      <c r="S88" s="93">
        <f t="shared" si="76"/>
        <v>11</v>
      </c>
      <c r="T88" s="94">
        <f t="shared" si="77"/>
        <v>2019</v>
      </c>
      <c r="U88" s="96">
        <f t="shared" si="68"/>
        <v>149034.10416666666</v>
      </c>
      <c r="V88" s="73">
        <v>0</v>
      </c>
      <c r="W88" s="73">
        <v>48</v>
      </c>
      <c r="X88" s="96">
        <f t="shared" si="78"/>
        <v>0</v>
      </c>
      <c r="Y88" s="96">
        <v>7153636.9999999991</v>
      </c>
      <c r="Z88" s="96">
        <f t="shared" si="79"/>
        <v>0</v>
      </c>
      <c r="AA88" s="73">
        <f t="shared" si="80"/>
        <v>0</v>
      </c>
      <c r="AB88" s="73">
        <f t="shared" si="97"/>
        <v>48</v>
      </c>
      <c r="AC88" s="96">
        <f t="shared" si="81"/>
        <v>0</v>
      </c>
      <c r="AD88" s="96">
        <f t="shared" si="98"/>
        <v>7153636.9999999991</v>
      </c>
      <c r="AE88" s="96">
        <f t="shared" si="82"/>
        <v>0</v>
      </c>
      <c r="AF88" s="73">
        <f t="shared" si="112"/>
        <v>0</v>
      </c>
      <c r="AG88" s="73">
        <f t="shared" si="99"/>
        <v>48</v>
      </c>
      <c r="AH88" s="96">
        <f t="shared" si="100"/>
        <v>0</v>
      </c>
      <c r="AI88" s="96">
        <f t="shared" si="83"/>
        <v>7153636.9999999991</v>
      </c>
      <c r="AJ88" s="96">
        <f t="shared" si="84"/>
        <v>0</v>
      </c>
      <c r="AK88" s="73">
        <f t="shared" si="101"/>
        <v>0</v>
      </c>
      <c r="AL88" s="73">
        <f t="shared" si="102"/>
        <v>48</v>
      </c>
      <c r="AM88" s="96">
        <f t="shared" si="103"/>
        <v>0</v>
      </c>
      <c r="AN88" s="96">
        <f t="shared" si="104"/>
        <v>7153636.9999999991</v>
      </c>
      <c r="AO88" s="96">
        <f t="shared" si="105"/>
        <v>0</v>
      </c>
      <c r="AP88" s="73">
        <f t="shared" si="106"/>
        <v>0</v>
      </c>
      <c r="AQ88" s="73">
        <f t="shared" si="107"/>
        <v>48</v>
      </c>
      <c r="AR88" s="96">
        <f t="shared" si="108"/>
        <v>0</v>
      </c>
      <c r="AS88" s="96">
        <f t="shared" si="109"/>
        <v>7153636.9999999991</v>
      </c>
      <c r="AT88" s="96">
        <f t="shared" si="110"/>
        <v>0</v>
      </c>
      <c r="AU88" s="60"/>
      <c r="AV88" s="202">
        <f t="shared" si="111"/>
        <v>0</v>
      </c>
      <c r="AW88" s="203">
        <f t="shared" si="85"/>
        <v>0</v>
      </c>
      <c r="AX88" s="203">
        <f t="shared" si="86"/>
        <v>0</v>
      </c>
      <c r="AY88" s="203">
        <f t="shared" si="87"/>
        <v>0</v>
      </c>
      <c r="AZ88" s="203">
        <f t="shared" si="88"/>
        <v>0</v>
      </c>
      <c r="BA88" s="203">
        <f t="shared" si="89"/>
        <v>0</v>
      </c>
      <c r="BB88" s="203">
        <f t="shared" si="90"/>
        <v>0</v>
      </c>
      <c r="BC88" s="203">
        <f t="shared" si="91"/>
        <v>0</v>
      </c>
      <c r="BD88" s="203">
        <f t="shared" si="92"/>
        <v>0</v>
      </c>
      <c r="BE88" s="203">
        <f t="shared" si="93"/>
        <v>0</v>
      </c>
      <c r="BF88" s="203">
        <f t="shared" si="94"/>
        <v>0</v>
      </c>
      <c r="BG88" s="203">
        <f t="shared" si="95"/>
        <v>0</v>
      </c>
      <c r="BH88" s="203">
        <f t="shared" si="96"/>
        <v>0</v>
      </c>
    </row>
    <row r="89" spans="2:60" x14ac:dyDescent="0.2">
      <c r="B89" s="68"/>
      <c r="C89" s="89">
        <v>42340</v>
      </c>
      <c r="D89" s="70"/>
      <c r="E89" s="71" t="s">
        <v>189</v>
      </c>
      <c r="F89" s="72"/>
      <c r="G89" s="90">
        <v>0.25</v>
      </c>
      <c r="H89" s="74">
        <v>1439000</v>
      </c>
      <c r="I89" s="74"/>
      <c r="J89" s="74"/>
      <c r="K89" s="74">
        <f t="shared" si="71"/>
        <v>1439000</v>
      </c>
      <c r="L89" s="74"/>
      <c r="M89" s="74"/>
      <c r="N89" s="74">
        <f t="shared" si="72"/>
        <v>1439000</v>
      </c>
      <c r="O89" s="91">
        <f t="shared" si="73"/>
        <v>4</v>
      </c>
      <c r="P89" s="72">
        <f t="shared" si="67"/>
        <v>48</v>
      </c>
      <c r="Q89" s="72">
        <f t="shared" si="74"/>
        <v>12</v>
      </c>
      <c r="R89" s="92">
        <f t="shared" si="75"/>
        <v>2015</v>
      </c>
      <c r="S89" s="93">
        <f t="shared" si="76"/>
        <v>11</v>
      </c>
      <c r="T89" s="94">
        <f t="shared" si="77"/>
        <v>2019</v>
      </c>
      <c r="U89" s="96">
        <f t="shared" si="68"/>
        <v>29979.166666666668</v>
      </c>
      <c r="V89" s="73">
        <v>0</v>
      </c>
      <c r="W89" s="73">
        <v>48</v>
      </c>
      <c r="X89" s="96">
        <f t="shared" si="78"/>
        <v>0</v>
      </c>
      <c r="Y89" s="96">
        <v>1439000</v>
      </c>
      <c r="Z89" s="96">
        <f t="shared" si="79"/>
        <v>0</v>
      </c>
      <c r="AA89" s="73">
        <f t="shared" si="80"/>
        <v>0</v>
      </c>
      <c r="AB89" s="73">
        <f t="shared" si="97"/>
        <v>48</v>
      </c>
      <c r="AC89" s="96">
        <f t="shared" si="81"/>
        <v>0</v>
      </c>
      <c r="AD89" s="96">
        <f t="shared" si="98"/>
        <v>1439000</v>
      </c>
      <c r="AE89" s="96">
        <f t="shared" si="82"/>
        <v>0</v>
      </c>
      <c r="AF89" s="73">
        <f t="shared" si="112"/>
        <v>0</v>
      </c>
      <c r="AG89" s="73">
        <f t="shared" si="99"/>
        <v>48</v>
      </c>
      <c r="AH89" s="96">
        <f t="shared" si="100"/>
        <v>0</v>
      </c>
      <c r="AI89" s="96">
        <f t="shared" si="83"/>
        <v>1439000</v>
      </c>
      <c r="AJ89" s="96">
        <f t="shared" si="84"/>
        <v>0</v>
      </c>
      <c r="AK89" s="73">
        <f t="shared" si="101"/>
        <v>0</v>
      </c>
      <c r="AL89" s="73">
        <f t="shared" si="102"/>
        <v>48</v>
      </c>
      <c r="AM89" s="96">
        <f t="shared" si="103"/>
        <v>0</v>
      </c>
      <c r="AN89" s="96">
        <f t="shared" si="104"/>
        <v>1439000</v>
      </c>
      <c r="AO89" s="96">
        <f t="shared" si="105"/>
        <v>0</v>
      </c>
      <c r="AP89" s="73">
        <f t="shared" si="106"/>
        <v>0</v>
      </c>
      <c r="AQ89" s="73">
        <f t="shared" si="107"/>
        <v>48</v>
      </c>
      <c r="AR89" s="96">
        <f t="shared" si="108"/>
        <v>0</v>
      </c>
      <c r="AS89" s="96">
        <f t="shared" si="109"/>
        <v>1439000</v>
      </c>
      <c r="AT89" s="96">
        <f t="shared" si="110"/>
        <v>0</v>
      </c>
      <c r="AU89" s="60"/>
      <c r="AV89" s="202">
        <f t="shared" si="111"/>
        <v>0</v>
      </c>
      <c r="AW89" s="203">
        <f t="shared" si="85"/>
        <v>0</v>
      </c>
      <c r="AX89" s="203">
        <f t="shared" si="86"/>
        <v>0</v>
      </c>
      <c r="AY89" s="203">
        <f t="shared" si="87"/>
        <v>0</v>
      </c>
      <c r="AZ89" s="203">
        <f t="shared" si="88"/>
        <v>0</v>
      </c>
      <c r="BA89" s="203">
        <f t="shared" si="89"/>
        <v>0</v>
      </c>
      <c r="BB89" s="203">
        <f t="shared" si="90"/>
        <v>0</v>
      </c>
      <c r="BC89" s="203">
        <f t="shared" si="91"/>
        <v>0</v>
      </c>
      <c r="BD89" s="203">
        <f t="shared" si="92"/>
        <v>0</v>
      </c>
      <c r="BE89" s="203">
        <f t="shared" si="93"/>
        <v>0</v>
      </c>
      <c r="BF89" s="203">
        <f t="shared" si="94"/>
        <v>0</v>
      </c>
      <c r="BG89" s="203">
        <f t="shared" si="95"/>
        <v>0</v>
      </c>
      <c r="BH89" s="203">
        <f t="shared" si="96"/>
        <v>0</v>
      </c>
    </row>
    <row r="90" spans="2:60" x14ac:dyDescent="0.2">
      <c r="B90" s="68"/>
      <c r="C90" s="89">
        <v>42460</v>
      </c>
      <c r="D90" s="70"/>
      <c r="E90" s="71" t="s">
        <v>190</v>
      </c>
      <c r="F90" s="72"/>
      <c r="G90" s="90">
        <v>0.25</v>
      </c>
      <c r="H90" s="74">
        <v>700000</v>
      </c>
      <c r="I90" s="74"/>
      <c r="J90" s="74"/>
      <c r="K90" s="74">
        <f t="shared" si="71"/>
        <v>700000</v>
      </c>
      <c r="L90" s="74"/>
      <c r="M90" s="74"/>
      <c r="N90" s="74">
        <f t="shared" si="72"/>
        <v>700000</v>
      </c>
      <c r="O90" s="91">
        <f t="shared" si="73"/>
        <v>4</v>
      </c>
      <c r="P90" s="72">
        <f t="shared" si="67"/>
        <v>48</v>
      </c>
      <c r="Q90" s="72">
        <f t="shared" si="74"/>
        <v>3</v>
      </c>
      <c r="R90" s="92">
        <f t="shared" si="75"/>
        <v>2016</v>
      </c>
      <c r="S90" s="93">
        <f t="shared" si="76"/>
        <v>2</v>
      </c>
      <c r="T90" s="94">
        <f t="shared" si="77"/>
        <v>2020</v>
      </c>
      <c r="U90" s="96">
        <f t="shared" si="68"/>
        <v>14583.333333333334</v>
      </c>
      <c r="V90" s="73">
        <v>0</v>
      </c>
      <c r="W90" s="73">
        <v>48</v>
      </c>
      <c r="X90" s="96">
        <f t="shared" si="78"/>
        <v>0</v>
      </c>
      <c r="Y90" s="96">
        <v>700000</v>
      </c>
      <c r="Z90" s="96">
        <f t="shared" si="79"/>
        <v>0</v>
      </c>
      <c r="AA90" s="73">
        <f t="shared" si="80"/>
        <v>0</v>
      </c>
      <c r="AB90" s="73">
        <f t="shared" si="97"/>
        <v>48</v>
      </c>
      <c r="AC90" s="96">
        <f t="shared" si="81"/>
        <v>0</v>
      </c>
      <c r="AD90" s="96">
        <f t="shared" si="98"/>
        <v>700000</v>
      </c>
      <c r="AE90" s="96">
        <f t="shared" si="82"/>
        <v>0</v>
      </c>
      <c r="AF90" s="73">
        <f t="shared" si="112"/>
        <v>0</v>
      </c>
      <c r="AG90" s="73">
        <f t="shared" si="99"/>
        <v>48</v>
      </c>
      <c r="AH90" s="96">
        <f t="shared" si="100"/>
        <v>0</v>
      </c>
      <c r="AI90" s="96">
        <f t="shared" si="83"/>
        <v>700000</v>
      </c>
      <c r="AJ90" s="96">
        <f t="shared" si="84"/>
        <v>0</v>
      </c>
      <c r="AK90" s="73">
        <f t="shared" si="101"/>
        <v>0</v>
      </c>
      <c r="AL90" s="73">
        <f t="shared" si="102"/>
        <v>48</v>
      </c>
      <c r="AM90" s="96">
        <f t="shared" si="103"/>
        <v>0</v>
      </c>
      <c r="AN90" s="96">
        <f t="shared" si="104"/>
        <v>700000</v>
      </c>
      <c r="AO90" s="96">
        <f t="shared" si="105"/>
        <v>0</v>
      </c>
      <c r="AP90" s="73">
        <f t="shared" si="106"/>
        <v>0</v>
      </c>
      <c r="AQ90" s="73">
        <f t="shared" si="107"/>
        <v>48</v>
      </c>
      <c r="AR90" s="96">
        <f t="shared" si="108"/>
        <v>0</v>
      </c>
      <c r="AS90" s="96">
        <f t="shared" si="109"/>
        <v>700000</v>
      </c>
      <c r="AT90" s="96">
        <f t="shared" si="110"/>
        <v>0</v>
      </c>
      <c r="AU90" s="60"/>
      <c r="AV90" s="202">
        <f t="shared" si="111"/>
        <v>0</v>
      </c>
      <c r="AW90" s="203">
        <f t="shared" si="85"/>
        <v>0</v>
      </c>
      <c r="AX90" s="203">
        <f t="shared" si="86"/>
        <v>0</v>
      </c>
      <c r="AY90" s="203">
        <f t="shared" si="87"/>
        <v>0</v>
      </c>
      <c r="AZ90" s="203">
        <f t="shared" si="88"/>
        <v>0</v>
      </c>
      <c r="BA90" s="203">
        <f t="shared" si="89"/>
        <v>0</v>
      </c>
      <c r="BB90" s="203">
        <f t="shared" si="90"/>
        <v>0</v>
      </c>
      <c r="BC90" s="203">
        <f t="shared" si="91"/>
        <v>0</v>
      </c>
      <c r="BD90" s="203">
        <f t="shared" si="92"/>
        <v>0</v>
      </c>
      <c r="BE90" s="203">
        <f t="shared" si="93"/>
        <v>0</v>
      </c>
      <c r="BF90" s="203">
        <f t="shared" si="94"/>
        <v>0</v>
      </c>
      <c r="BG90" s="203">
        <f t="shared" si="95"/>
        <v>0</v>
      </c>
      <c r="BH90" s="203">
        <f t="shared" si="96"/>
        <v>0</v>
      </c>
    </row>
    <row r="91" spans="2:60" x14ac:dyDescent="0.2">
      <c r="B91" s="68"/>
      <c r="C91" s="89">
        <v>42480</v>
      </c>
      <c r="D91" s="70"/>
      <c r="E91" s="71" t="s">
        <v>191</v>
      </c>
      <c r="F91" s="72"/>
      <c r="G91" s="90">
        <v>0.25</v>
      </c>
      <c r="H91" s="74">
        <v>249000</v>
      </c>
      <c r="I91" s="74"/>
      <c r="J91" s="74"/>
      <c r="K91" s="74">
        <f t="shared" si="71"/>
        <v>249000</v>
      </c>
      <c r="L91" s="74"/>
      <c r="M91" s="74"/>
      <c r="N91" s="74">
        <f t="shared" si="72"/>
        <v>249000</v>
      </c>
      <c r="O91" s="91">
        <f t="shared" si="73"/>
        <v>4</v>
      </c>
      <c r="P91" s="72">
        <f t="shared" si="67"/>
        <v>48</v>
      </c>
      <c r="Q91" s="72">
        <f t="shared" si="74"/>
        <v>4</v>
      </c>
      <c r="R91" s="92">
        <f t="shared" si="75"/>
        <v>2016</v>
      </c>
      <c r="S91" s="93">
        <f t="shared" si="76"/>
        <v>3</v>
      </c>
      <c r="T91" s="94">
        <f t="shared" si="77"/>
        <v>2020</v>
      </c>
      <c r="U91" s="96">
        <f t="shared" si="68"/>
        <v>5187.5</v>
      </c>
      <c r="V91" s="73">
        <v>0</v>
      </c>
      <c r="W91" s="73">
        <v>48</v>
      </c>
      <c r="X91" s="96">
        <f t="shared" si="78"/>
        <v>0</v>
      </c>
      <c r="Y91" s="96">
        <v>249000</v>
      </c>
      <c r="Z91" s="96">
        <f t="shared" si="79"/>
        <v>0</v>
      </c>
      <c r="AA91" s="73">
        <f t="shared" si="80"/>
        <v>0</v>
      </c>
      <c r="AB91" s="73">
        <f t="shared" si="97"/>
        <v>48</v>
      </c>
      <c r="AC91" s="96">
        <f t="shared" si="81"/>
        <v>0</v>
      </c>
      <c r="AD91" s="96">
        <f t="shared" si="98"/>
        <v>249000</v>
      </c>
      <c r="AE91" s="96">
        <f t="shared" si="82"/>
        <v>0</v>
      </c>
      <c r="AF91" s="73">
        <f t="shared" si="112"/>
        <v>0</v>
      </c>
      <c r="AG91" s="73">
        <f t="shared" si="99"/>
        <v>48</v>
      </c>
      <c r="AH91" s="96">
        <f t="shared" si="100"/>
        <v>0</v>
      </c>
      <c r="AI91" s="96">
        <f t="shared" si="83"/>
        <v>249000</v>
      </c>
      <c r="AJ91" s="96">
        <f t="shared" si="84"/>
        <v>0</v>
      </c>
      <c r="AK91" s="73">
        <f t="shared" si="101"/>
        <v>0</v>
      </c>
      <c r="AL91" s="73">
        <f t="shared" si="102"/>
        <v>48</v>
      </c>
      <c r="AM91" s="96">
        <f t="shared" si="103"/>
        <v>0</v>
      </c>
      <c r="AN91" s="96">
        <f t="shared" si="104"/>
        <v>249000</v>
      </c>
      <c r="AO91" s="96">
        <f t="shared" si="105"/>
        <v>0</v>
      </c>
      <c r="AP91" s="73">
        <f t="shared" si="106"/>
        <v>0</v>
      </c>
      <c r="AQ91" s="73">
        <f t="shared" si="107"/>
        <v>48</v>
      </c>
      <c r="AR91" s="96">
        <f t="shared" si="108"/>
        <v>0</v>
      </c>
      <c r="AS91" s="96">
        <f t="shared" si="109"/>
        <v>249000</v>
      </c>
      <c r="AT91" s="96">
        <f t="shared" si="110"/>
        <v>0</v>
      </c>
      <c r="AU91" s="60"/>
      <c r="AV91" s="202">
        <f t="shared" si="111"/>
        <v>0</v>
      </c>
      <c r="AW91" s="203">
        <f t="shared" si="85"/>
        <v>0</v>
      </c>
      <c r="AX91" s="203">
        <f t="shared" si="86"/>
        <v>0</v>
      </c>
      <c r="AY91" s="203">
        <f t="shared" si="87"/>
        <v>0</v>
      </c>
      <c r="AZ91" s="203">
        <f t="shared" si="88"/>
        <v>0</v>
      </c>
      <c r="BA91" s="203">
        <f t="shared" si="89"/>
        <v>0</v>
      </c>
      <c r="BB91" s="203">
        <f t="shared" si="90"/>
        <v>0</v>
      </c>
      <c r="BC91" s="203">
        <f t="shared" si="91"/>
        <v>0</v>
      </c>
      <c r="BD91" s="203">
        <f t="shared" si="92"/>
        <v>0</v>
      </c>
      <c r="BE91" s="203">
        <f t="shared" si="93"/>
        <v>0</v>
      </c>
      <c r="BF91" s="203">
        <f t="shared" si="94"/>
        <v>0</v>
      </c>
      <c r="BG91" s="203">
        <f t="shared" si="95"/>
        <v>0</v>
      </c>
      <c r="BH91" s="203">
        <f t="shared" si="96"/>
        <v>0</v>
      </c>
    </row>
    <row r="92" spans="2:60" x14ac:dyDescent="0.2">
      <c r="B92" s="68"/>
      <c r="C92" s="89">
        <v>42493</v>
      </c>
      <c r="D92" s="70"/>
      <c r="E92" s="71" t="s">
        <v>192</v>
      </c>
      <c r="F92" s="72"/>
      <c r="G92" s="90">
        <v>0.25</v>
      </c>
      <c r="H92" s="74">
        <v>797000</v>
      </c>
      <c r="I92" s="74"/>
      <c r="J92" s="74"/>
      <c r="K92" s="74">
        <f t="shared" si="71"/>
        <v>797000</v>
      </c>
      <c r="L92" s="74"/>
      <c r="M92" s="74"/>
      <c r="N92" s="74">
        <f t="shared" si="72"/>
        <v>797000</v>
      </c>
      <c r="O92" s="91">
        <f t="shared" si="73"/>
        <v>4</v>
      </c>
      <c r="P92" s="72">
        <f t="shared" si="67"/>
        <v>48</v>
      </c>
      <c r="Q92" s="72">
        <f t="shared" si="74"/>
        <v>5</v>
      </c>
      <c r="R92" s="92">
        <f t="shared" si="75"/>
        <v>2016</v>
      </c>
      <c r="S92" s="93">
        <f t="shared" si="76"/>
        <v>4</v>
      </c>
      <c r="T92" s="94">
        <f t="shared" si="77"/>
        <v>2020</v>
      </c>
      <c r="U92" s="96">
        <f t="shared" si="68"/>
        <v>16604.166666666668</v>
      </c>
      <c r="V92" s="73">
        <v>0</v>
      </c>
      <c r="W92" s="73">
        <v>48</v>
      </c>
      <c r="X92" s="96">
        <f t="shared" si="78"/>
        <v>0</v>
      </c>
      <c r="Y92" s="96">
        <v>797000</v>
      </c>
      <c r="Z92" s="96">
        <f t="shared" si="79"/>
        <v>0</v>
      </c>
      <c r="AA92" s="73">
        <f t="shared" si="80"/>
        <v>0</v>
      </c>
      <c r="AB92" s="73">
        <f t="shared" si="97"/>
        <v>48</v>
      </c>
      <c r="AC92" s="96">
        <f t="shared" si="81"/>
        <v>0</v>
      </c>
      <c r="AD92" s="96">
        <f t="shared" si="98"/>
        <v>797000</v>
      </c>
      <c r="AE92" s="96">
        <f t="shared" si="82"/>
        <v>0</v>
      </c>
      <c r="AF92" s="73">
        <f t="shared" si="112"/>
        <v>0</v>
      </c>
      <c r="AG92" s="73">
        <f t="shared" si="99"/>
        <v>48</v>
      </c>
      <c r="AH92" s="96">
        <f t="shared" si="100"/>
        <v>0</v>
      </c>
      <c r="AI92" s="96">
        <f t="shared" si="83"/>
        <v>797000</v>
      </c>
      <c r="AJ92" s="96">
        <f t="shared" si="84"/>
        <v>0</v>
      </c>
      <c r="AK92" s="73">
        <f t="shared" si="101"/>
        <v>0</v>
      </c>
      <c r="AL92" s="73">
        <f t="shared" si="102"/>
        <v>48</v>
      </c>
      <c r="AM92" s="96">
        <f t="shared" si="103"/>
        <v>0</v>
      </c>
      <c r="AN92" s="96">
        <f t="shared" si="104"/>
        <v>797000</v>
      </c>
      <c r="AO92" s="96">
        <f t="shared" si="105"/>
        <v>0</v>
      </c>
      <c r="AP92" s="73">
        <f t="shared" si="106"/>
        <v>0</v>
      </c>
      <c r="AQ92" s="73">
        <f t="shared" si="107"/>
        <v>48</v>
      </c>
      <c r="AR92" s="96">
        <f t="shared" si="108"/>
        <v>0</v>
      </c>
      <c r="AS92" s="96">
        <f t="shared" si="109"/>
        <v>797000</v>
      </c>
      <c r="AT92" s="96">
        <f t="shared" si="110"/>
        <v>0</v>
      </c>
      <c r="AU92" s="60"/>
      <c r="AV92" s="202">
        <f t="shared" si="111"/>
        <v>0</v>
      </c>
      <c r="AW92" s="203">
        <f t="shared" si="85"/>
        <v>0</v>
      </c>
      <c r="AX92" s="203">
        <f t="shared" si="86"/>
        <v>0</v>
      </c>
      <c r="AY92" s="203">
        <f t="shared" si="87"/>
        <v>0</v>
      </c>
      <c r="AZ92" s="203">
        <f t="shared" si="88"/>
        <v>0</v>
      </c>
      <c r="BA92" s="203">
        <f t="shared" si="89"/>
        <v>0</v>
      </c>
      <c r="BB92" s="203">
        <f t="shared" si="90"/>
        <v>0</v>
      </c>
      <c r="BC92" s="203">
        <f t="shared" si="91"/>
        <v>0</v>
      </c>
      <c r="BD92" s="203">
        <f t="shared" si="92"/>
        <v>0</v>
      </c>
      <c r="BE92" s="203">
        <f t="shared" si="93"/>
        <v>0</v>
      </c>
      <c r="BF92" s="203">
        <f t="shared" si="94"/>
        <v>0</v>
      </c>
      <c r="BG92" s="203">
        <f t="shared" si="95"/>
        <v>0</v>
      </c>
      <c r="BH92" s="203">
        <f t="shared" si="96"/>
        <v>0</v>
      </c>
    </row>
    <row r="93" spans="2:60" x14ac:dyDescent="0.2">
      <c r="B93" s="68"/>
      <c r="C93" s="89">
        <v>42605</v>
      </c>
      <c r="D93" s="70"/>
      <c r="E93" s="71" t="s">
        <v>193</v>
      </c>
      <c r="F93" s="72"/>
      <c r="G93" s="90">
        <v>0.25</v>
      </c>
      <c r="H93" s="74">
        <v>950000</v>
      </c>
      <c r="I93" s="74"/>
      <c r="J93" s="74"/>
      <c r="K93" s="74">
        <f t="shared" si="71"/>
        <v>950000</v>
      </c>
      <c r="L93" s="74"/>
      <c r="M93" s="74"/>
      <c r="N93" s="74">
        <f t="shared" si="72"/>
        <v>950000</v>
      </c>
      <c r="O93" s="91">
        <f t="shared" si="73"/>
        <v>4</v>
      </c>
      <c r="P93" s="72">
        <f t="shared" si="67"/>
        <v>48</v>
      </c>
      <c r="Q93" s="72">
        <f t="shared" si="74"/>
        <v>8</v>
      </c>
      <c r="R93" s="92">
        <f t="shared" si="75"/>
        <v>2016</v>
      </c>
      <c r="S93" s="93">
        <f t="shared" si="76"/>
        <v>7</v>
      </c>
      <c r="T93" s="94">
        <f t="shared" si="77"/>
        <v>2020</v>
      </c>
      <c r="U93" s="96">
        <f t="shared" si="68"/>
        <v>19791.666666666668</v>
      </c>
      <c r="V93" s="73">
        <v>0</v>
      </c>
      <c r="W93" s="73">
        <v>48</v>
      </c>
      <c r="X93" s="96">
        <f t="shared" si="78"/>
        <v>0</v>
      </c>
      <c r="Y93" s="96">
        <v>950000</v>
      </c>
      <c r="Z93" s="96">
        <f t="shared" si="79"/>
        <v>0</v>
      </c>
      <c r="AA93" s="73">
        <f t="shared" si="80"/>
        <v>0</v>
      </c>
      <c r="AB93" s="73">
        <f t="shared" si="97"/>
        <v>48</v>
      </c>
      <c r="AC93" s="96">
        <f t="shared" si="81"/>
        <v>0</v>
      </c>
      <c r="AD93" s="96">
        <f t="shared" si="98"/>
        <v>950000</v>
      </c>
      <c r="AE93" s="96">
        <f t="shared" si="82"/>
        <v>0</v>
      </c>
      <c r="AF93" s="73">
        <f t="shared" si="112"/>
        <v>0</v>
      </c>
      <c r="AG93" s="73">
        <f t="shared" si="99"/>
        <v>48</v>
      </c>
      <c r="AH93" s="96">
        <f t="shared" si="100"/>
        <v>0</v>
      </c>
      <c r="AI93" s="96">
        <f t="shared" si="83"/>
        <v>950000</v>
      </c>
      <c r="AJ93" s="96">
        <f t="shared" si="84"/>
        <v>0</v>
      </c>
      <c r="AK93" s="73">
        <f t="shared" si="101"/>
        <v>0</v>
      </c>
      <c r="AL93" s="73">
        <f t="shared" si="102"/>
        <v>48</v>
      </c>
      <c r="AM93" s="96">
        <f t="shared" si="103"/>
        <v>0</v>
      </c>
      <c r="AN93" s="96">
        <f t="shared" si="104"/>
        <v>950000</v>
      </c>
      <c r="AO93" s="96">
        <f t="shared" si="105"/>
        <v>0</v>
      </c>
      <c r="AP93" s="73">
        <f t="shared" si="106"/>
        <v>0</v>
      </c>
      <c r="AQ93" s="73">
        <f t="shared" si="107"/>
        <v>48</v>
      </c>
      <c r="AR93" s="96">
        <f t="shared" si="108"/>
        <v>0</v>
      </c>
      <c r="AS93" s="96">
        <f t="shared" si="109"/>
        <v>950000</v>
      </c>
      <c r="AT93" s="96">
        <f t="shared" si="110"/>
        <v>0</v>
      </c>
      <c r="AU93" s="60"/>
      <c r="AV93" s="202">
        <f t="shared" si="111"/>
        <v>0</v>
      </c>
      <c r="AW93" s="203">
        <f t="shared" si="85"/>
        <v>0</v>
      </c>
      <c r="AX93" s="203">
        <f t="shared" si="86"/>
        <v>0</v>
      </c>
      <c r="AY93" s="203">
        <f t="shared" si="87"/>
        <v>0</v>
      </c>
      <c r="AZ93" s="203">
        <f t="shared" si="88"/>
        <v>0</v>
      </c>
      <c r="BA93" s="203">
        <f t="shared" si="89"/>
        <v>0</v>
      </c>
      <c r="BB93" s="203">
        <f t="shared" si="90"/>
        <v>0</v>
      </c>
      <c r="BC93" s="203">
        <f t="shared" si="91"/>
        <v>0</v>
      </c>
      <c r="BD93" s="203">
        <f t="shared" si="92"/>
        <v>0</v>
      </c>
      <c r="BE93" s="203">
        <f t="shared" si="93"/>
        <v>0</v>
      </c>
      <c r="BF93" s="203">
        <f t="shared" si="94"/>
        <v>0</v>
      </c>
      <c r="BG93" s="203">
        <f t="shared" si="95"/>
        <v>0</v>
      </c>
      <c r="BH93" s="203">
        <f t="shared" si="96"/>
        <v>0</v>
      </c>
    </row>
    <row r="94" spans="2:60" x14ac:dyDescent="0.2">
      <c r="B94" s="68"/>
      <c r="C94" s="89">
        <v>42621</v>
      </c>
      <c r="D94" s="70"/>
      <c r="E94" s="71" t="s">
        <v>194</v>
      </c>
      <c r="F94" s="72"/>
      <c r="G94" s="90">
        <v>0.25</v>
      </c>
      <c r="H94" s="74">
        <v>640000</v>
      </c>
      <c r="I94" s="74"/>
      <c r="J94" s="74"/>
      <c r="K94" s="74">
        <f t="shared" si="71"/>
        <v>640000</v>
      </c>
      <c r="L94" s="74"/>
      <c r="M94" s="74"/>
      <c r="N94" s="74">
        <f t="shared" si="72"/>
        <v>640000</v>
      </c>
      <c r="O94" s="91">
        <f t="shared" si="73"/>
        <v>4</v>
      </c>
      <c r="P94" s="72">
        <f t="shared" si="67"/>
        <v>48</v>
      </c>
      <c r="Q94" s="72">
        <f t="shared" si="74"/>
        <v>9</v>
      </c>
      <c r="R94" s="92">
        <f t="shared" si="75"/>
        <v>2016</v>
      </c>
      <c r="S94" s="93">
        <f t="shared" si="76"/>
        <v>8</v>
      </c>
      <c r="T94" s="94">
        <f t="shared" si="77"/>
        <v>2020</v>
      </c>
      <c r="U94" s="96">
        <f t="shared" si="68"/>
        <v>13333.333333333334</v>
      </c>
      <c r="V94" s="73">
        <v>0</v>
      </c>
      <c r="W94" s="73">
        <v>48</v>
      </c>
      <c r="X94" s="96">
        <f t="shared" si="78"/>
        <v>0</v>
      </c>
      <c r="Y94" s="96">
        <v>640000</v>
      </c>
      <c r="Z94" s="96">
        <f t="shared" si="79"/>
        <v>0</v>
      </c>
      <c r="AA94" s="73">
        <f t="shared" si="80"/>
        <v>0</v>
      </c>
      <c r="AB94" s="73">
        <f t="shared" si="97"/>
        <v>48</v>
      </c>
      <c r="AC94" s="96">
        <f t="shared" si="81"/>
        <v>0</v>
      </c>
      <c r="AD94" s="96">
        <f t="shared" si="98"/>
        <v>640000</v>
      </c>
      <c r="AE94" s="96">
        <f t="shared" si="82"/>
        <v>0</v>
      </c>
      <c r="AF94" s="73">
        <f t="shared" si="112"/>
        <v>0</v>
      </c>
      <c r="AG94" s="73">
        <f t="shared" si="99"/>
        <v>48</v>
      </c>
      <c r="AH94" s="96">
        <f t="shared" si="100"/>
        <v>0</v>
      </c>
      <c r="AI94" s="96">
        <f t="shared" si="83"/>
        <v>640000</v>
      </c>
      <c r="AJ94" s="96">
        <f t="shared" si="84"/>
        <v>0</v>
      </c>
      <c r="AK94" s="73">
        <f t="shared" si="101"/>
        <v>0</v>
      </c>
      <c r="AL94" s="73">
        <f t="shared" si="102"/>
        <v>48</v>
      </c>
      <c r="AM94" s="96">
        <f t="shared" si="103"/>
        <v>0</v>
      </c>
      <c r="AN94" s="96">
        <f t="shared" si="104"/>
        <v>640000</v>
      </c>
      <c r="AO94" s="96">
        <f t="shared" si="105"/>
        <v>0</v>
      </c>
      <c r="AP94" s="73">
        <f t="shared" si="106"/>
        <v>0</v>
      </c>
      <c r="AQ94" s="73">
        <f t="shared" si="107"/>
        <v>48</v>
      </c>
      <c r="AR94" s="96">
        <f t="shared" si="108"/>
        <v>0</v>
      </c>
      <c r="AS94" s="96">
        <f t="shared" si="109"/>
        <v>640000</v>
      </c>
      <c r="AT94" s="96">
        <f t="shared" si="110"/>
        <v>0</v>
      </c>
      <c r="AU94" s="60"/>
      <c r="AV94" s="202">
        <f t="shared" si="111"/>
        <v>0</v>
      </c>
      <c r="AW94" s="203">
        <f t="shared" si="85"/>
        <v>0</v>
      </c>
      <c r="AX94" s="203">
        <f t="shared" si="86"/>
        <v>0</v>
      </c>
      <c r="AY94" s="203">
        <f t="shared" si="87"/>
        <v>0</v>
      </c>
      <c r="AZ94" s="203">
        <f t="shared" si="88"/>
        <v>0</v>
      </c>
      <c r="BA94" s="203">
        <f t="shared" si="89"/>
        <v>0</v>
      </c>
      <c r="BB94" s="203">
        <f t="shared" si="90"/>
        <v>0</v>
      </c>
      <c r="BC94" s="203">
        <f t="shared" si="91"/>
        <v>0</v>
      </c>
      <c r="BD94" s="203">
        <f t="shared" si="92"/>
        <v>0</v>
      </c>
      <c r="BE94" s="203">
        <f t="shared" si="93"/>
        <v>0</v>
      </c>
      <c r="BF94" s="203">
        <f t="shared" si="94"/>
        <v>0</v>
      </c>
      <c r="BG94" s="203">
        <f t="shared" si="95"/>
        <v>0</v>
      </c>
      <c r="BH94" s="203">
        <f t="shared" si="96"/>
        <v>0</v>
      </c>
    </row>
    <row r="95" spans="2:60" x14ac:dyDescent="0.2">
      <c r="B95" s="68"/>
      <c r="C95" s="89">
        <v>42634</v>
      </c>
      <c r="D95" s="70"/>
      <c r="E95" s="71" t="s">
        <v>195</v>
      </c>
      <c r="F95" s="72"/>
      <c r="G95" s="90">
        <v>0.25</v>
      </c>
      <c r="H95" s="74">
        <v>1300000</v>
      </c>
      <c r="I95" s="74"/>
      <c r="J95" s="74"/>
      <c r="K95" s="74">
        <f t="shared" si="71"/>
        <v>1300000</v>
      </c>
      <c r="L95" s="74"/>
      <c r="M95" s="74"/>
      <c r="N95" s="74">
        <f t="shared" si="72"/>
        <v>1300000</v>
      </c>
      <c r="O95" s="91">
        <f t="shared" si="73"/>
        <v>4</v>
      </c>
      <c r="P95" s="72">
        <f t="shared" si="67"/>
        <v>48</v>
      </c>
      <c r="Q95" s="72">
        <f t="shared" si="74"/>
        <v>9</v>
      </c>
      <c r="R95" s="92">
        <f t="shared" si="75"/>
        <v>2016</v>
      </c>
      <c r="S95" s="93">
        <f t="shared" si="76"/>
        <v>8</v>
      </c>
      <c r="T95" s="94">
        <f t="shared" si="77"/>
        <v>2020</v>
      </c>
      <c r="U95" s="96">
        <f t="shared" si="68"/>
        <v>27083.333333333332</v>
      </c>
      <c r="V95" s="73">
        <v>0</v>
      </c>
      <c r="W95" s="73">
        <v>48</v>
      </c>
      <c r="X95" s="96">
        <f t="shared" si="78"/>
        <v>0</v>
      </c>
      <c r="Y95" s="96">
        <v>1300000</v>
      </c>
      <c r="Z95" s="96">
        <f t="shared" si="79"/>
        <v>0</v>
      </c>
      <c r="AA95" s="73">
        <f t="shared" si="80"/>
        <v>0</v>
      </c>
      <c r="AB95" s="73">
        <f t="shared" si="97"/>
        <v>48</v>
      </c>
      <c r="AC95" s="96">
        <f t="shared" si="81"/>
        <v>0</v>
      </c>
      <c r="AD95" s="96">
        <f t="shared" si="98"/>
        <v>1300000</v>
      </c>
      <c r="AE95" s="96">
        <f t="shared" si="82"/>
        <v>0</v>
      </c>
      <c r="AF95" s="73">
        <f t="shared" si="112"/>
        <v>0</v>
      </c>
      <c r="AG95" s="73">
        <f t="shared" si="99"/>
        <v>48</v>
      </c>
      <c r="AH95" s="96">
        <f t="shared" si="100"/>
        <v>0</v>
      </c>
      <c r="AI95" s="96">
        <f t="shared" si="83"/>
        <v>1300000</v>
      </c>
      <c r="AJ95" s="96">
        <f t="shared" si="84"/>
        <v>0</v>
      </c>
      <c r="AK95" s="73">
        <f t="shared" si="101"/>
        <v>0</v>
      </c>
      <c r="AL95" s="73">
        <f t="shared" si="102"/>
        <v>48</v>
      </c>
      <c r="AM95" s="96">
        <f t="shared" si="103"/>
        <v>0</v>
      </c>
      <c r="AN95" s="96">
        <f t="shared" si="104"/>
        <v>1300000</v>
      </c>
      <c r="AO95" s="96">
        <f t="shared" si="105"/>
        <v>0</v>
      </c>
      <c r="AP95" s="73">
        <f t="shared" si="106"/>
        <v>0</v>
      </c>
      <c r="AQ95" s="73">
        <f t="shared" si="107"/>
        <v>48</v>
      </c>
      <c r="AR95" s="96">
        <f t="shared" si="108"/>
        <v>0</v>
      </c>
      <c r="AS95" s="96">
        <f t="shared" si="109"/>
        <v>1300000</v>
      </c>
      <c r="AT95" s="96">
        <f t="shared" si="110"/>
        <v>0</v>
      </c>
      <c r="AU95" s="60"/>
      <c r="AV95" s="202">
        <f t="shared" si="111"/>
        <v>0</v>
      </c>
      <c r="AW95" s="203">
        <f t="shared" si="85"/>
        <v>0</v>
      </c>
      <c r="AX95" s="203">
        <f t="shared" si="86"/>
        <v>0</v>
      </c>
      <c r="AY95" s="203">
        <f t="shared" si="87"/>
        <v>0</v>
      </c>
      <c r="AZ95" s="203">
        <f t="shared" si="88"/>
        <v>0</v>
      </c>
      <c r="BA95" s="203">
        <f t="shared" si="89"/>
        <v>0</v>
      </c>
      <c r="BB95" s="203">
        <f t="shared" si="90"/>
        <v>0</v>
      </c>
      <c r="BC95" s="203">
        <f t="shared" si="91"/>
        <v>0</v>
      </c>
      <c r="BD95" s="203">
        <f t="shared" si="92"/>
        <v>0</v>
      </c>
      <c r="BE95" s="203">
        <f t="shared" si="93"/>
        <v>0</v>
      </c>
      <c r="BF95" s="203">
        <f t="shared" si="94"/>
        <v>0</v>
      </c>
      <c r="BG95" s="203">
        <f t="shared" si="95"/>
        <v>0</v>
      </c>
      <c r="BH95" s="203">
        <f t="shared" si="96"/>
        <v>0</v>
      </c>
    </row>
    <row r="96" spans="2:60" x14ac:dyDescent="0.2">
      <c r="B96" s="68"/>
      <c r="C96" s="89">
        <v>42647</v>
      </c>
      <c r="D96" s="70"/>
      <c r="E96" s="71" t="s">
        <v>196</v>
      </c>
      <c r="F96" s="72"/>
      <c r="G96" s="90">
        <v>0.25</v>
      </c>
      <c r="H96" s="74">
        <v>900000</v>
      </c>
      <c r="I96" s="74"/>
      <c r="J96" s="74"/>
      <c r="K96" s="74">
        <f t="shared" si="71"/>
        <v>900000</v>
      </c>
      <c r="L96" s="74"/>
      <c r="M96" s="74"/>
      <c r="N96" s="74">
        <f t="shared" si="72"/>
        <v>900000</v>
      </c>
      <c r="O96" s="91">
        <f t="shared" si="73"/>
        <v>4</v>
      </c>
      <c r="P96" s="72">
        <f t="shared" si="67"/>
        <v>48</v>
      </c>
      <c r="Q96" s="72">
        <f t="shared" si="74"/>
        <v>10</v>
      </c>
      <c r="R96" s="92">
        <f t="shared" si="75"/>
        <v>2016</v>
      </c>
      <c r="S96" s="93">
        <f t="shared" si="76"/>
        <v>9</v>
      </c>
      <c r="T96" s="94">
        <f t="shared" si="77"/>
        <v>2020</v>
      </c>
      <c r="U96" s="96">
        <f t="shared" si="68"/>
        <v>18750</v>
      </c>
      <c r="V96" s="73">
        <v>0</v>
      </c>
      <c r="W96" s="73">
        <v>48</v>
      </c>
      <c r="X96" s="96">
        <f t="shared" si="78"/>
        <v>0</v>
      </c>
      <c r="Y96" s="96">
        <v>900000</v>
      </c>
      <c r="Z96" s="96">
        <f t="shared" si="79"/>
        <v>0</v>
      </c>
      <c r="AA96" s="73">
        <f t="shared" si="80"/>
        <v>0</v>
      </c>
      <c r="AB96" s="73">
        <f t="shared" si="97"/>
        <v>48</v>
      </c>
      <c r="AC96" s="96">
        <f t="shared" si="81"/>
        <v>0</v>
      </c>
      <c r="AD96" s="96">
        <f t="shared" si="98"/>
        <v>900000</v>
      </c>
      <c r="AE96" s="96">
        <f t="shared" si="82"/>
        <v>0</v>
      </c>
      <c r="AF96" s="73">
        <f t="shared" si="112"/>
        <v>0</v>
      </c>
      <c r="AG96" s="73">
        <f t="shared" si="99"/>
        <v>48</v>
      </c>
      <c r="AH96" s="96">
        <f t="shared" si="100"/>
        <v>0</v>
      </c>
      <c r="AI96" s="96">
        <f t="shared" si="83"/>
        <v>900000</v>
      </c>
      <c r="AJ96" s="96">
        <f t="shared" si="84"/>
        <v>0</v>
      </c>
      <c r="AK96" s="73">
        <f t="shared" si="101"/>
        <v>0</v>
      </c>
      <c r="AL96" s="73">
        <f t="shared" si="102"/>
        <v>48</v>
      </c>
      <c r="AM96" s="96">
        <f t="shared" si="103"/>
        <v>0</v>
      </c>
      <c r="AN96" s="96">
        <f t="shared" si="104"/>
        <v>900000</v>
      </c>
      <c r="AO96" s="96">
        <f t="shared" si="105"/>
        <v>0</v>
      </c>
      <c r="AP96" s="73">
        <f t="shared" si="106"/>
        <v>0</v>
      </c>
      <c r="AQ96" s="73">
        <f t="shared" si="107"/>
        <v>48</v>
      </c>
      <c r="AR96" s="96">
        <f t="shared" si="108"/>
        <v>0</v>
      </c>
      <c r="AS96" s="96">
        <f t="shared" si="109"/>
        <v>900000</v>
      </c>
      <c r="AT96" s="96">
        <f t="shared" si="110"/>
        <v>0</v>
      </c>
      <c r="AU96" s="60"/>
      <c r="AV96" s="202">
        <f t="shared" si="111"/>
        <v>0</v>
      </c>
      <c r="AW96" s="203">
        <f t="shared" si="85"/>
        <v>0</v>
      </c>
      <c r="AX96" s="203">
        <f t="shared" si="86"/>
        <v>0</v>
      </c>
      <c r="AY96" s="203">
        <f t="shared" si="87"/>
        <v>0</v>
      </c>
      <c r="AZ96" s="203">
        <f t="shared" si="88"/>
        <v>0</v>
      </c>
      <c r="BA96" s="203">
        <f t="shared" si="89"/>
        <v>0</v>
      </c>
      <c r="BB96" s="203">
        <f t="shared" si="90"/>
        <v>0</v>
      </c>
      <c r="BC96" s="203">
        <f t="shared" si="91"/>
        <v>0</v>
      </c>
      <c r="BD96" s="203">
        <f t="shared" si="92"/>
        <v>0</v>
      </c>
      <c r="BE96" s="203">
        <f t="shared" si="93"/>
        <v>0</v>
      </c>
      <c r="BF96" s="203">
        <f t="shared" si="94"/>
        <v>0</v>
      </c>
      <c r="BG96" s="203">
        <f t="shared" si="95"/>
        <v>0</v>
      </c>
      <c r="BH96" s="203">
        <f t="shared" si="96"/>
        <v>0</v>
      </c>
    </row>
    <row r="97" spans="2:60" x14ac:dyDescent="0.2">
      <c r="B97" s="68"/>
      <c r="C97" s="89">
        <v>42678</v>
      </c>
      <c r="D97" s="70" t="s">
        <v>197</v>
      </c>
      <c r="E97" s="71" t="s">
        <v>198</v>
      </c>
      <c r="F97" s="72"/>
      <c r="G97" s="90">
        <v>0.25</v>
      </c>
      <c r="H97" s="74">
        <v>340000</v>
      </c>
      <c r="I97" s="74"/>
      <c r="J97" s="74"/>
      <c r="K97" s="74">
        <f t="shared" si="71"/>
        <v>340000</v>
      </c>
      <c r="L97" s="74"/>
      <c r="M97" s="74"/>
      <c r="N97" s="74">
        <f t="shared" si="72"/>
        <v>340000</v>
      </c>
      <c r="O97" s="91">
        <f t="shared" si="73"/>
        <v>4</v>
      </c>
      <c r="P97" s="72">
        <f t="shared" si="67"/>
        <v>48</v>
      </c>
      <c r="Q97" s="72">
        <f t="shared" si="74"/>
        <v>11</v>
      </c>
      <c r="R97" s="92">
        <f t="shared" si="75"/>
        <v>2016</v>
      </c>
      <c r="S97" s="93">
        <f t="shared" si="76"/>
        <v>10</v>
      </c>
      <c r="T97" s="94">
        <f t="shared" si="77"/>
        <v>2020</v>
      </c>
      <c r="U97" s="96">
        <f t="shared" si="68"/>
        <v>7083.333333333333</v>
      </c>
      <c r="V97" s="73">
        <v>0</v>
      </c>
      <c r="W97" s="73">
        <v>48</v>
      </c>
      <c r="X97" s="96">
        <f t="shared" si="78"/>
        <v>0</v>
      </c>
      <c r="Y97" s="96">
        <v>339999.99999999994</v>
      </c>
      <c r="Z97" s="96">
        <f t="shared" si="79"/>
        <v>0</v>
      </c>
      <c r="AA97" s="73">
        <f t="shared" si="80"/>
        <v>0</v>
      </c>
      <c r="AB97" s="73">
        <f t="shared" si="97"/>
        <v>48</v>
      </c>
      <c r="AC97" s="96">
        <f t="shared" si="81"/>
        <v>0</v>
      </c>
      <c r="AD97" s="96">
        <f t="shared" si="98"/>
        <v>339999.99999999994</v>
      </c>
      <c r="AE97" s="96">
        <f t="shared" si="82"/>
        <v>0</v>
      </c>
      <c r="AF97" s="73">
        <f t="shared" si="112"/>
        <v>0</v>
      </c>
      <c r="AG97" s="73">
        <f t="shared" si="99"/>
        <v>48</v>
      </c>
      <c r="AH97" s="96">
        <f t="shared" si="100"/>
        <v>0</v>
      </c>
      <c r="AI97" s="96">
        <f t="shared" si="83"/>
        <v>339999.99999999994</v>
      </c>
      <c r="AJ97" s="96">
        <f t="shared" si="84"/>
        <v>0</v>
      </c>
      <c r="AK97" s="73">
        <f t="shared" si="101"/>
        <v>0</v>
      </c>
      <c r="AL97" s="73">
        <f t="shared" si="102"/>
        <v>48</v>
      </c>
      <c r="AM97" s="96">
        <f t="shared" si="103"/>
        <v>0</v>
      </c>
      <c r="AN97" s="96">
        <f t="shared" si="104"/>
        <v>339999.99999999994</v>
      </c>
      <c r="AO97" s="96">
        <f t="shared" si="105"/>
        <v>0</v>
      </c>
      <c r="AP97" s="73">
        <f t="shared" si="106"/>
        <v>0</v>
      </c>
      <c r="AQ97" s="73">
        <f t="shared" si="107"/>
        <v>48</v>
      </c>
      <c r="AR97" s="96">
        <f t="shared" si="108"/>
        <v>0</v>
      </c>
      <c r="AS97" s="96">
        <f t="shared" si="109"/>
        <v>339999.99999999994</v>
      </c>
      <c r="AT97" s="96">
        <f t="shared" si="110"/>
        <v>0</v>
      </c>
      <c r="AU97" s="60"/>
      <c r="AV97" s="202">
        <f t="shared" si="111"/>
        <v>0</v>
      </c>
      <c r="AW97" s="203">
        <f t="shared" si="85"/>
        <v>0</v>
      </c>
      <c r="AX97" s="203">
        <f t="shared" si="86"/>
        <v>0</v>
      </c>
      <c r="AY97" s="203">
        <f t="shared" si="87"/>
        <v>0</v>
      </c>
      <c r="AZ97" s="203">
        <f t="shared" si="88"/>
        <v>0</v>
      </c>
      <c r="BA97" s="203">
        <f t="shared" si="89"/>
        <v>0</v>
      </c>
      <c r="BB97" s="203">
        <f t="shared" si="90"/>
        <v>0</v>
      </c>
      <c r="BC97" s="203">
        <f t="shared" si="91"/>
        <v>0</v>
      </c>
      <c r="BD97" s="203">
        <f t="shared" si="92"/>
        <v>0</v>
      </c>
      <c r="BE97" s="203">
        <f t="shared" si="93"/>
        <v>0</v>
      </c>
      <c r="BF97" s="203">
        <f t="shared" si="94"/>
        <v>0</v>
      </c>
      <c r="BG97" s="203">
        <f t="shared" si="95"/>
        <v>0</v>
      </c>
      <c r="BH97" s="203">
        <f t="shared" si="96"/>
        <v>0</v>
      </c>
    </row>
    <row r="98" spans="2:60" x14ac:dyDescent="0.2">
      <c r="B98" s="68"/>
      <c r="C98" s="89">
        <v>42695</v>
      </c>
      <c r="D98" s="70" t="s">
        <v>199</v>
      </c>
      <c r="E98" s="71" t="s">
        <v>200</v>
      </c>
      <c r="F98" s="72"/>
      <c r="G98" s="90">
        <v>0.25</v>
      </c>
      <c r="H98" s="74">
        <v>1200000</v>
      </c>
      <c r="I98" s="74"/>
      <c r="J98" s="74"/>
      <c r="K98" s="74">
        <f t="shared" si="71"/>
        <v>1200000</v>
      </c>
      <c r="L98" s="74"/>
      <c r="M98" s="74"/>
      <c r="N98" s="74">
        <f t="shared" si="72"/>
        <v>1200000</v>
      </c>
      <c r="O98" s="91">
        <f t="shared" si="73"/>
        <v>4</v>
      </c>
      <c r="P98" s="72">
        <f t="shared" si="67"/>
        <v>48</v>
      </c>
      <c r="Q98" s="72">
        <f t="shared" si="74"/>
        <v>11</v>
      </c>
      <c r="R98" s="92">
        <f t="shared" si="75"/>
        <v>2016</v>
      </c>
      <c r="S98" s="93">
        <f t="shared" si="76"/>
        <v>10</v>
      </c>
      <c r="T98" s="94">
        <f t="shared" si="77"/>
        <v>2020</v>
      </c>
      <c r="U98" s="96">
        <f t="shared" si="68"/>
        <v>25000</v>
      </c>
      <c r="V98" s="73">
        <v>0</v>
      </c>
      <c r="W98" s="73">
        <v>48</v>
      </c>
      <c r="X98" s="96">
        <f t="shared" si="78"/>
        <v>0</v>
      </c>
      <c r="Y98" s="96">
        <v>1200000</v>
      </c>
      <c r="Z98" s="96">
        <f t="shared" si="79"/>
        <v>0</v>
      </c>
      <c r="AA98" s="73">
        <f t="shared" si="80"/>
        <v>0</v>
      </c>
      <c r="AB98" s="73">
        <f t="shared" si="97"/>
        <v>48</v>
      </c>
      <c r="AC98" s="96">
        <f t="shared" si="81"/>
        <v>0</v>
      </c>
      <c r="AD98" s="96">
        <f t="shared" si="98"/>
        <v>1200000</v>
      </c>
      <c r="AE98" s="96">
        <f t="shared" si="82"/>
        <v>0</v>
      </c>
      <c r="AF98" s="73">
        <f t="shared" si="112"/>
        <v>0</v>
      </c>
      <c r="AG98" s="73">
        <f t="shared" si="99"/>
        <v>48</v>
      </c>
      <c r="AH98" s="96">
        <f t="shared" si="100"/>
        <v>0</v>
      </c>
      <c r="AI98" s="96">
        <f t="shared" si="83"/>
        <v>1200000</v>
      </c>
      <c r="AJ98" s="96">
        <f t="shared" si="84"/>
        <v>0</v>
      </c>
      <c r="AK98" s="73">
        <f t="shared" si="101"/>
        <v>0</v>
      </c>
      <c r="AL98" s="73">
        <f t="shared" si="102"/>
        <v>48</v>
      </c>
      <c r="AM98" s="96">
        <f t="shared" si="103"/>
        <v>0</v>
      </c>
      <c r="AN98" s="96">
        <f t="shared" si="104"/>
        <v>1200000</v>
      </c>
      <c r="AO98" s="96">
        <f t="shared" si="105"/>
        <v>0</v>
      </c>
      <c r="AP98" s="73">
        <f t="shared" si="106"/>
        <v>0</v>
      </c>
      <c r="AQ98" s="73">
        <f t="shared" si="107"/>
        <v>48</v>
      </c>
      <c r="AR98" s="96">
        <f t="shared" si="108"/>
        <v>0</v>
      </c>
      <c r="AS98" s="96">
        <f t="shared" si="109"/>
        <v>1200000</v>
      </c>
      <c r="AT98" s="96">
        <f t="shared" si="110"/>
        <v>0</v>
      </c>
      <c r="AU98" s="60"/>
      <c r="AV98" s="202">
        <f t="shared" si="111"/>
        <v>0</v>
      </c>
      <c r="AW98" s="203">
        <f t="shared" si="85"/>
        <v>0</v>
      </c>
      <c r="AX98" s="203">
        <f t="shared" si="86"/>
        <v>0</v>
      </c>
      <c r="AY98" s="203">
        <f t="shared" si="87"/>
        <v>0</v>
      </c>
      <c r="AZ98" s="203">
        <f t="shared" si="88"/>
        <v>0</v>
      </c>
      <c r="BA98" s="203">
        <f t="shared" si="89"/>
        <v>0</v>
      </c>
      <c r="BB98" s="203">
        <f t="shared" si="90"/>
        <v>0</v>
      </c>
      <c r="BC98" s="203">
        <f t="shared" si="91"/>
        <v>0</v>
      </c>
      <c r="BD98" s="203">
        <f t="shared" si="92"/>
        <v>0</v>
      </c>
      <c r="BE98" s="203">
        <f t="shared" si="93"/>
        <v>0</v>
      </c>
      <c r="BF98" s="203">
        <f t="shared" si="94"/>
        <v>0</v>
      </c>
      <c r="BG98" s="203">
        <f t="shared" si="95"/>
        <v>0</v>
      </c>
      <c r="BH98" s="203">
        <f t="shared" si="96"/>
        <v>0</v>
      </c>
    </row>
    <row r="99" spans="2:60" x14ac:dyDescent="0.2">
      <c r="B99" s="68"/>
      <c r="C99" s="89">
        <v>42751</v>
      </c>
      <c r="D99" s="70" t="s">
        <v>201</v>
      </c>
      <c r="E99" s="71" t="s">
        <v>202</v>
      </c>
      <c r="F99" s="72"/>
      <c r="G99" s="90">
        <v>0.25</v>
      </c>
      <c r="H99" s="74">
        <v>1380000</v>
      </c>
      <c r="I99" s="74"/>
      <c r="J99" s="74"/>
      <c r="K99" s="74">
        <f t="shared" si="71"/>
        <v>1380000</v>
      </c>
      <c r="L99" s="74"/>
      <c r="M99" s="74"/>
      <c r="N99" s="74">
        <f t="shared" si="72"/>
        <v>1380000</v>
      </c>
      <c r="O99" s="91">
        <f t="shared" si="73"/>
        <v>4</v>
      </c>
      <c r="P99" s="72">
        <f t="shared" si="65"/>
        <v>48</v>
      </c>
      <c r="Q99" s="72">
        <f t="shared" si="74"/>
        <v>1</v>
      </c>
      <c r="R99" s="92">
        <f t="shared" si="75"/>
        <v>2017</v>
      </c>
      <c r="S99" s="93">
        <f t="shared" si="76"/>
        <v>12</v>
      </c>
      <c r="T99" s="94">
        <f t="shared" si="77"/>
        <v>2020</v>
      </c>
      <c r="U99" s="96">
        <f t="shared" si="66"/>
        <v>28750</v>
      </c>
      <c r="V99" s="73">
        <v>0</v>
      </c>
      <c r="W99" s="73">
        <v>48</v>
      </c>
      <c r="X99" s="96">
        <f t="shared" si="78"/>
        <v>0</v>
      </c>
      <c r="Y99" s="96">
        <v>1380000</v>
      </c>
      <c r="Z99" s="96">
        <f t="shared" si="79"/>
        <v>0</v>
      </c>
      <c r="AA99" s="73">
        <f t="shared" si="80"/>
        <v>0</v>
      </c>
      <c r="AB99" s="73">
        <f t="shared" si="97"/>
        <v>48</v>
      </c>
      <c r="AC99" s="96">
        <f t="shared" si="81"/>
        <v>0</v>
      </c>
      <c r="AD99" s="96">
        <f t="shared" si="98"/>
        <v>1380000</v>
      </c>
      <c r="AE99" s="96">
        <f t="shared" si="82"/>
        <v>0</v>
      </c>
      <c r="AF99" s="73">
        <f t="shared" si="112"/>
        <v>0</v>
      </c>
      <c r="AG99" s="73">
        <f t="shared" si="99"/>
        <v>48</v>
      </c>
      <c r="AH99" s="96">
        <f t="shared" si="100"/>
        <v>0</v>
      </c>
      <c r="AI99" s="96">
        <f t="shared" si="83"/>
        <v>1380000</v>
      </c>
      <c r="AJ99" s="96">
        <f t="shared" si="84"/>
        <v>0</v>
      </c>
      <c r="AK99" s="73">
        <f t="shared" si="101"/>
        <v>0</v>
      </c>
      <c r="AL99" s="73">
        <f t="shared" si="102"/>
        <v>48</v>
      </c>
      <c r="AM99" s="96">
        <f t="shared" si="103"/>
        <v>0</v>
      </c>
      <c r="AN99" s="96">
        <f t="shared" si="104"/>
        <v>1380000</v>
      </c>
      <c r="AO99" s="96">
        <f t="shared" si="105"/>
        <v>0</v>
      </c>
      <c r="AP99" s="73">
        <f t="shared" si="106"/>
        <v>0</v>
      </c>
      <c r="AQ99" s="73">
        <f t="shared" si="107"/>
        <v>48</v>
      </c>
      <c r="AR99" s="96">
        <f t="shared" si="108"/>
        <v>0</v>
      </c>
      <c r="AS99" s="96">
        <f t="shared" si="109"/>
        <v>1380000</v>
      </c>
      <c r="AT99" s="96">
        <f t="shared" si="110"/>
        <v>0</v>
      </c>
      <c r="AU99" s="60"/>
      <c r="AV99" s="202">
        <f t="shared" si="111"/>
        <v>0</v>
      </c>
      <c r="AW99" s="203">
        <f t="shared" si="85"/>
        <v>0</v>
      </c>
      <c r="AX99" s="203">
        <f t="shared" si="86"/>
        <v>0</v>
      </c>
      <c r="AY99" s="203">
        <f t="shared" si="87"/>
        <v>0</v>
      </c>
      <c r="AZ99" s="203">
        <f t="shared" si="88"/>
        <v>0</v>
      </c>
      <c r="BA99" s="203">
        <f t="shared" si="89"/>
        <v>0</v>
      </c>
      <c r="BB99" s="203">
        <f t="shared" si="90"/>
        <v>0</v>
      </c>
      <c r="BC99" s="203">
        <f t="shared" si="91"/>
        <v>0</v>
      </c>
      <c r="BD99" s="203">
        <f t="shared" si="92"/>
        <v>0</v>
      </c>
      <c r="BE99" s="203">
        <f t="shared" si="93"/>
        <v>0</v>
      </c>
      <c r="BF99" s="203">
        <f t="shared" si="94"/>
        <v>0</v>
      </c>
      <c r="BG99" s="203">
        <f t="shared" si="95"/>
        <v>0</v>
      </c>
      <c r="BH99" s="203">
        <f t="shared" si="96"/>
        <v>0</v>
      </c>
    </row>
    <row r="100" spans="2:60" x14ac:dyDescent="0.2">
      <c r="B100" s="68"/>
      <c r="C100" s="89">
        <v>42789</v>
      </c>
      <c r="D100" s="70" t="s">
        <v>203</v>
      </c>
      <c r="E100" s="71" t="s">
        <v>184</v>
      </c>
      <c r="F100" s="72"/>
      <c r="G100" s="90">
        <v>0.25</v>
      </c>
      <c r="H100" s="74">
        <v>5600000</v>
      </c>
      <c r="I100" s="74"/>
      <c r="J100" s="74"/>
      <c r="K100" s="74">
        <f t="shared" si="71"/>
        <v>5600000</v>
      </c>
      <c r="L100" s="74"/>
      <c r="M100" s="74"/>
      <c r="N100" s="74">
        <f t="shared" si="72"/>
        <v>5600000</v>
      </c>
      <c r="O100" s="91">
        <f t="shared" si="73"/>
        <v>4</v>
      </c>
      <c r="P100" s="72">
        <f t="shared" si="65"/>
        <v>48</v>
      </c>
      <c r="Q100" s="72">
        <f t="shared" si="74"/>
        <v>2</v>
      </c>
      <c r="R100" s="92">
        <f t="shared" si="75"/>
        <v>2017</v>
      </c>
      <c r="S100" s="93">
        <f t="shared" si="76"/>
        <v>1</v>
      </c>
      <c r="T100" s="94">
        <f t="shared" si="77"/>
        <v>2021</v>
      </c>
      <c r="U100" s="96">
        <f t="shared" si="66"/>
        <v>116666.66666666667</v>
      </c>
      <c r="V100" s="73">
        <v>0</v>
      </c>
      <c r="W100" s="73">
        <v>48</v>
      </c>
      <c r="X100" s="96">
        <f t="shared" si="78"/>
        <v>0</v>
      </c>
      <c r="Y100" s="96">
        <v>5600000.0000000009</v>
      </c>
      <c r="Z100" s="96">
        <f t="shared" si="79"/>
        <v>0</v>
      </c>
      <c r="AA100" s="73">
        <f t="shared" si="80"/>
        <v>0</v>
      </c>
      <c r="AB100" s="73">
        <f t="shared" si="97"/>
        <v>48</v>
      </c>
      <c r="AC100" s="96">
        <f t="shared" si="81"/>
        <v>0</v>
      </c>
      <c r="AD100" s="96">
        <f t="shared" si="98"/>
        <v>5600000.0000000009</v>
      </c>
      <c r="AE100" s="96">
        <f t="shared" si="82"/>
        <v>0</v>
      </c>
      <c r="AF100" s="73">
        <f t="shared" si="112"/>
        <v>0</v>
      </c>
      <c r="AG100" s="73">
        <f t="shared" si="99"/>
        <v>48</v>
      </c>
      <c r="AH100" s="96">
        <f t="shared" si="100"/>
        <v>0</v>
      </c>
      <c r="AI100" s="96">
        <f t="shared" si="83"/>
        <v>5600000.0000000009</v>
      </c>
      <c r="AJ100" s="96">
        <f t="shared" si="84"/>
        <v>0</v>
      </c>
      <c r="AK100" s="73">
        <f t="shared" si="101"/>
        <v>0</v>
      </c>
      <c r="AL100" s="73">
        <f t="shared" si="102"/>
        <v>48</v>
      </c>
      <c r="AM100" s="96">
        <f t="shared" si="103"/>
        <v>0</v>
      </c>
      <c r="AN100" s="96">
        <f t="shared" si="104"/>
        <v>5600000.0000000009</v>
      </c>
      <c r="AO100" s="96">
        <f t="shared" si="105"/>
        <v>0</v>
      </c>
      <c r="AP100" s="73">
        <f t="shared" si="106"/>
        <v>0</v>
      </c>
      <c r="AQ100" s="73">
        <f t="shared" si="107"/>
        <v>48</v>
      </c>
      <c r="AR100" s="96">
        <f t="shared" si="108"/>
        <v>0</v>
      </c>
      <c r="AS100" s="96">
        <f t="shared" si="109"/>
        <v>5600000.0000000009</v>
      </c>
      <c r="AT100" s="96">
        <f t="shared" si="110"/>
        <v>0</v>
      </c>
      <c r="AU100" s="60"/>
      <c r="AV100" s="202">
        <f t="shared" si="111"/>
        <v>0</v>
      </c>
      <c r="AW100" s="203">
        <f t="shared" si="85"/>
        <v>0</v>
      </c>
      <c r="AX100" s="203">
        <f t="shared" si="86"/>
        <v>0</v>
      </c>
      <c r="AY100" s="203">
        <f t="shared" si="87"/>
        <v>0</v>
      </c>
      <c r="AZ100" s="203">
        <f t="shared" si="88"/>
        <v>0</v>
      </c>
      <c r="BA100" s="203">
        <f t="shared" si="89"/>
        <v>0</v>
      </c>
      <c r="BB100" s="203">
        <f t="shared" si="90"/>
        <v>0</v>
      </c>
      <c r="BC100" s="203">
        <f t="shared" si="91"/>
        <v>0</v>
      </c>
      <c r="BD100" s="203">
        <f t="shared" si="92"/>
        <v>0</v>
      </c>
      <c r="BE100" s="203">
        <f t="shared" si="93"/>
        <v>0</v>
      </c>
      <c r="BF100" s="203">
        <f t="shared" si="94"/>
        <v>0</v>
      </c>
      <c r="BG100" s="203">
        <f t="shared" si="95"/>
        <v>0</v>
      </c>
      <c r="BH100" s="203">
        <f t="shared" si="96"/>
        <v>0</v>
      </c>
    </row>
    <row r="101" spans="2:60" x14ac:dyDescent="0.2">
      <c r="B101" s="68"/>
      <c r="C101" s="89">
        <v>42807</v>
      </c>
      <c r="D101" s="70" t="s">
        <v>204</v>
      </c>
      <c r="E101" s="71" t="s">
        <v>205</v>
      </c>
      <c r="F101" s="72"/>
      <c r="G101" s="90">
        <v>0.25</v>
      </c>
      <c r="H101" s="74">
        <v>189000</v>
      </c>
      <c r="I101" s="74"/>
      <c r="J101" s="74"/>
      <c r="K101" s="74">
        <f t="shared" si="71"/>
        <v>189000</v>
      </c>
      <c r="L101" s="74"/>
      <c r="M101" s="74"/>
      <c r="N101" s="74">
        <f t="shared" si="72"/>
        <v>189000</v>
      </c>
      <c r="O101" s="91">
        <f t="shared" si="73"/>
        <v>4</v>
      </c>
      <c r="P101" s="72">
        <f t="shared" si="65"/>
        <v>48</v>
      </c>
      <c r="Q101" s="72">
        <f t="shared" si="74"/>
        <v>3</v>
      </c>
      <c r="R101" s="92">
        <f t="shared" si="75"/>
        <v>2017</v>
      </c>
      <c r="S101" s="93">
        <f t="shared" si="76"/>
        <v>2</v>
      </c>
      <c r="T101" s="94">
        <f t="shared" si="77"/>
        <v>2021</v>
      </c>
      <c r="U101" s="96">
        <f t="shared" si="66"/>
        <v>3937.5</v>
      </c>
      <c r="V101" s="73">
        <v>0</v>
      </c>
      <c r="W101" s="73">
        <v>48</v>
      </c>
      <c r="X101" s="96">
        <f t="shared" si="78"/>
        <v>0</v>
      </c>
      <c r="Y101" s="96">
        <v>189000</v>
      </c>
      <c r="Z101" s="96">
        <f t="shared" si="79"/>
        <v>0</v>
      </c>
      <c r="AA101" s="73">
        <f t="shared" si="80"/>
        <v>0</v>
      </c>
      <c r="AB101" s="73">
        <f t="shared" si="97"/>
        <v>48</v>
      </c>
      <c r="AC101" s="96">
        <f t="shared" si="81"/>
        <v>0</v>
      </c>
      <c r="AD101" s="96">
        <f t="shared" si="98"/>
        <v>189000</v>
      </c>
      <c r="AE101" s="96">
        <f t="shared" si="82"/>
        <v>0</v>
      </c>
      <c r="AF101" s="73">
        <f t="shared" si="112"/>
        <v>0</v>
      </c>
      <c r="AG101" s="73">
        <f t="shared" si="99"/>
        <v>48</v>
      </c>
      <c r="AH101" s="96">
        <f t="shared" si="100"/>
        <v>0</v>
      </c>
      <c r="AI101" s="96">
        <f t="shared" si="83"/>
        <v>189000</v>
      </c>
      <c r="AJ101" s="96">
        <f t="shared" si="84"/>
        <v>0</v>
      </c>
      <c r="AK101" s="73">
        <f t="shared" si="101"/>
        <v>0</v>
      </c>
      <c r="AL101" s="73">
        <f t="shared" si="102"/>
        <v>48</v>
      </c>
      <c r="AM101" s="96">
        <f t="shared" si="103"/>
        <v>0</v>
      </c>
      <c r="AN101" s="96">
        <f t="shared" si="104"/>
        <v>189000</v>
      </c>
      <c r="AO101" s="96">
        <f t="shared" si="105"/>
        <v>0</v>
      </c>
      <c r="AP101" s="73">
        <f t="shared" si="106"/>
        <v>0</v>
      </c>
      <c r="AQ101" s="73">
        <f t="shared" si="107"/>
        <v>48</v>
      </c>
      <c r="AR101" s="96">
        <f t="shared" si="108"/>
        <v>0</v>
      </c>
      <c r="AS101" s="96">
        <f t="shared" si="109"/>
        <v>189000</v>
      </c>
      <c r="AT101" s="96">
        <f t="shared" si="110"/>
        <v>0</v>
      </c>
      <c r="AU101" s="60"/>
      <c r="AV101" s="202">
        <f t="shared" si="111"/>
        <v>0</v>
      </c>
      <c r="AW101" s="203">
        <f t="shared" si="85"/>
        <v>0</v>
      </c>
      <c r="AX101" s="203">
        <f t="shared" si="86"/>
        <v>0</v>
      </c>
      <c r="AY101" s="203">
        <f t="shared" si="87"/>
        <v>0</v>
      </c>
      <c r="AZ101" s="203">
        <f t="shared" si="88"/>
        <v>0</v>
      </c>
      <c r="BA101" s="203">
        <f t="shared" si="89"/>
        <v>0</v>
      </c>
      <c r="BB101" s="203">
        <f t="shared" si="90"/>
        <v>0</v>
      </c>
      <c r="BC101" s="203">
        <f t="shared" si="91"/>
        <v>0</v>
      </c>
      <c r="BD101" s="203">
        <f t="shared" si="92"/>
        <v>0</v>
      </c>
      <c r="BE101" s="203">
        <f t="shared" si="93"/>
        <v>0</v>
      </c>
      <c r="BF101" s="203">
        <f t="shared" si="94"/>
        <v>0</v>
      </c>
      <c r="BG101" s="203">
        <f t="shared" si="95"/>
        <v>0</v>
      </c>
      <c r="BH101" s="203">
        <f t="shared" si="96"/>
        <v>0</v>
      </c>
    </row>
    <row r="102" spans="2:60" x14ac:dyDescent="0.2">
      <c r="B102" s="68"/>
      <c r="C102" s="89">
        <v>42863</v>
      </c>
      <c r="D102" s="70" t="s">
        <v>206</v>
      </c>
      <c r="E102" s="71" t="s">
        <v>207</v>
      </c>
      <c r="F102" s="72"/>
      <c r="G102" s="90">
        <v>0.25</v>
      </c>
      <c r="H102" s="74">
        <v>4500000</v>
      </c>
      <c r="I102" s="74"/>
      <c r="J102" s="74"/>
      <c r="K102" s="74">
        <f t="shared" si="71"/>
        <v>4500000</v>
      </c>
      <c r="L102" s="74"/>
      <c r="M102" s="74"/>
      <c r="N102" s="74">
        <f t="shared" si="72"/>
        <v>4500000</v>
      </c>
      <c r="O102" s="91">
        <f t="shared" si="73"/>
        <v>4</v>
      </c>
      <c r="P102" s="72">
        <f t="shared" si="65"/>
        <v>48</v>
      </c>
      <c r="Q102" s="72">
        <f t="shared" si="74"/>
        <v>5</v>
      </c>
      <c r="R102" s="92">
        <f t="shared" si="75"/>
        <v>2017</v>
      </c>
      <c r="S102" s="93">
        <f t="shared" si="76"/>
        <v>4</v>
      </c>
      <c r="T102" s="94">
        <f t="shared" si="77"/>
        <v>2021</v>
      </c>
      <c r="U102" s="96">
        <f t="shared" si="66"/>
        <v>93750</v>
      </c>
      <c r="V102" s="73">
        <v>0</v>
      </c>
      <c r="W102" s="73">
        <v>48</v>
      </c>
      <c r="X102" s="96">
        <f t="shared" si="78"/>
        <v>0</v>
      </c>
      <c r="Y102" s="96">
        <v>4500000</v>
      </c>
      <c r="Z102" s="96">
        <f t="shared" si="79"/>
        <v>0</v>
      </c>
      <c r="AA102" s="73">
        <f t="shared" si="80"/>
        <v>0</v>
      </c>
      <c r="AB102" s="73">
        <f t="shared" si="97"/>
        <v>48</v>
      </c>
      <c r="AC102" s="96">
        <f t="shared" si="81"/>
        <v>0</v>
      </c>
      <c r="AD102" s="96">
        <f t="shared" si="98"/>
        <v>4500000</v>
      </c>
      <c r="AE102" s="96">
        <f t="shared" si="82"/>
        <v>0</v>
      </c>
      <c r="AF102" s="73">
        <f t="shared" si="112"/>
        <v>0</v>
      </c>
      <c r="AG102" s="73">
        <f t="shared" si="99"/>
        <v>48</v>
      </c>
      <c r="AH102" s="96">
        <f t="shared" si="100"/>
        <v>0</v>
      </c>
      <c r="AI102" s="96">
        <f t="shared" si="83"/>
        <v>4500000</v>
      </c>
      <c r="AJ102" s="96">
        <f t="shared" si="84"/>
        <v>0</v>
      </c>
      <c r="AK102" s="73">
        <f t="shared" si="101"/>
        <v>0</v>
      </c>
      <c r="AL102" s="73">
        <f t="shared" si="102"/>
        <v>48</v>
      </c>
      <c r="AM102" s="96">
        <f t="shared" si="103"/>
        <v>0</v>
      </c>
      <c r="AN102" s="96">
        <f t="shared" si="104"/>
        <v>4500000</v>
      </c>
      <c r="AO102" s="96">
        <f t="shared" si="105"/>
        <v>0</v>
      </c>
      <c r="AP102" s="73">
        <f t="shared" si="106"/>
        <v>0</v>
      </c>
      <c r="AQ102" s="73">
        <f t="shared" si="107"/>
        <v>48</v>
      </c>
      <c r="AR102" s="96">
        <f t="shared" si="108"/>
        <v>0</v>
      </c>
      <c r="AS102" s="96">
        <f t="shared" si="109"/>
        <v>4500000</v>
      </c>
      <c r="AT102" s="96">
        <f t="shared" si="110"/>
        <v>0</v>
      </c>
      <c r="AU102" s="60"/>
      <c r="AV102" s="202">
        <f t="shared" si="111"/>
        <v>0</v>
      </c>
      <c r="AW102" s="203">
        <f t="shared" si="85"/>
        <v>0</v>
      </c>
      <c r="AX102" s="203">
        <f t="shared" si="86"/>
        <v>0</v>
      </c>
      <c r="AY102" s="203">
        <f t="shared" si="87"/>
        <v>0</v>
      </c>
      <c r="AZ102" s="203">
        <f t="shared" si="88"/>
        <v>0</v>
      </c>
      <c r="BA102" s="203">
        <f t="shared" si="89"/>
        <v>0</v>
      </c>
      <c r="BB102" s="203">
        <f t="shared" si="90"/>
        <v>0</v>
      </c>
      <c r="BC102" s="203">
        <f t="shared" si="91"/>
        <v>0</v>
      </c>
      <c r="BD102" s="203">
        <f t="shared" si="92"/>
        <v>0</v>
      </c>
      <c r="BE102" s="203">
        <f t="shared" si="93"/>
        <v>0</v>
      </c>
      <c r="BF102" s="203">
        <f t="shared" si="94"/>
        <v>0</v>
      </c>
      <c r="BG102" s="203">
        <f t="shared" si="95"/>
        <v>0</v>
      </c>
      <c r="BH102" s="203">
        <f t="shared" si="96"/>
        <v>0</v>
      </c>
    </row>
    <row r="103" spans="2:60" x14ac:dyDescent="0.2">
      <c r="B103" s="68"/>
      <c r="C103" s="89">
        <v>42867</v>
      </c>
      <c r="D103" s="70" t="s">
        <v>208</v>
      </c>
      <c r="E103" s="71" t="s">
        <v>209</v>
      </c>
      <c r="F103" s="72"/>
      <c r="G103" s="90">
        <v>0.25</v>
      </c>
      <c r="H103" s="74">
        <v>2550000</v>
      </c>
      <c r="I103" s="74"/>
      <c r="J103" s="74"/>
      <c r="K103" s="74">
        <f t="shared" si="71"/>
        <v>2550000</v>
      </c>
      <c r="L103" s="74"/>
      <c r="M103" s="74"/>
      <c r="N103" s="74">
        <f t="shared" si="72"/>
        <v>2550000</v>
      </c>
      <c r="O103" s="91">
        <f t="shared" si="73"/>
        <v>4</v>
      </c>
      <c r="P103" s="72">
        <f t="shared" si="65"/>
        <v>48</v>
      </c>
      <c r="Q103" s="72">
        <f t="shared" si="74"/>
        <v>5</v>
      </c>
      <c r="R103" s="92">
        <f t="shared" si="75"/>
        <v>2017</v>
      </c>
      <c r="S103" s="93">
        <f t="shared" si="76"/>
        <v>4</v>
      </c>
      <c r="T103" s="94">
        <f t="shared" si="77"/>
        <v>2021</v>
      </c>
      <c r="U103" s="96">
        <f t="shared" si="66"/>
        <v>53125</v>
      </c>
      <c r="V103" s="73">
        <v>0</v>
      </c>
      <c r="W103" s="73">
        <v>48</v>
      </c>
      <c r="X103" s="96">
        <f t="shared" si="78"/>
        <v>0</v>
      </c>
      <c r="Y103" s="96">
        <v>2550000</v>
      </c>
      <c r="Z103" s="96">
        <f t="shared" si="79"/>
        <v>0</v>
      </c>
      <c r="AA103" s="73">
        <f t="shared" si="80"/>
        <v>0</v>
      </c>
      <c r="AB103" s="73">
        <f t="shared" si="97"/>
        <v>48</v>
      </c>
      <c r="AC103" s="96">
        <f t="shared" si="81"/>
        <v>0</v>
      </c>
      <c r="AD103" s="96">
        <f t="shared" si="98"/>
        <v>2550000</v>
      </c>
      <c r="AE103" s="96">
        <f t="shared" si="82"/>
        <v>0</v>
      </c>
      <c r="AF103" s="73">
        <f t="shared" si="112"/>
        <v>0</v>
      </c>
      <c r="AG103" s="73">
        <f t="shared" si="99"/>
        <v>48</v>
      </c>
      <c r="AH103" s="96">
        <f t="shared" si="100"/>
        <v>0</v>
      </c>
      <c r="AI103" s="96">
        <f t="shared" si="83"/>
        <v>2550000</v>
      </c>
      <c r="AJ103" s="96">
        <f t="shared" si="84"/>
        <v>0</v>
      </c>
      <c r="AK103" s="73">
        <f t="shared" si="101"/>
        <v>0</v>
      </c>
      <c r="AL103" s="73">
        <f t="shared" si="102"/>
        <v>48</v>
      </c>
      <c r="AM103" s="96">
        <f t="shared" si="103"/>
        <v>0</v>
      </c>
      <c r="AN103" s="96">
        <f t="shared" si="104"/>
        <v>2550000</v>
      </c>
      <c r="AO103" s="96">
        <f t="shared" si="105"/>
        <v>0</v>
      </c>
      <c r="AP103" s="73">
        <f t="shared" si="106"/>
        <v>0</v>
      </c>
      <c r="AQ103" s="73">
        <f t="shared" si="107"/>
        <v>48</v>
      </c>
      <c r="AR103" s="96">
        <f t="shared" si="108"/>
        <v>0</v>
      </c>
      <c r="AS103" s="96">
        <f t="shared" si="109"/>
        <v>2550000</v>
      </c>
      <c r="AT103" s="96">
        <f t="shared" si="110"/>
        <v>0</v>
      </c>
      <c r="AU103" s="60"/>
      <c r="AV103" s="202">
        <f t="shared" si="111"/>
        <v>0</v>
      </c>
      <c r="AW103" s="203">
        <f t="shared" si="85"/>
        <v>0</v>
      </c>
      <c r="AX103" s="203">
        <f t="shared" si="86"/>
        <v>0</v>
      </c>
      <c r="AY103" s="203">
        <f t="shared" si="87"/>
        <v>0</v>
      </c>
      <c r="AZ103" s="203">
        <f t="shared" si="88"/>
        <v>0</v>
      </c>
      <c r="BA103" s="203">
        <f t="shared" si="89"/>
        <v>0</v>
      </c>
      <c r="BB103" s="203">
        <f t="shared" si="90"/>
        <v>0</v>
      </c>
      <c r="BC103" s="203">
        <f t="shared" si="91"/>
        <v>0</v>
      </c>
      <c r="BD103" s="203">
        <f t="shared" si="92"/>
        <v>0</v>
      </c>
      <c r="BE103" s="203">
        <f t="shared" si="93"/>
        <v>0</v>
      </c>
      <c r="BF103" s="203">
        <f t="shared" si="94"/>
        <v>0</v>
      </c>
      <c r="BG103" s="203">
        <f t="shared" si="95"/>
        <v>0</v>
      </c>
      <c r="BH103" s="203">
        <f t="shared" si="96"/>
        <v>0</v>
      </c>
    </row>
    <row r="104" spans="2:60" x14ac:dyDescent="0.2">
      <c r="B104" s="68"/>
      <c r="C104" s="89">
        <v>42901</v>
      </c>
      <c r="D104" s="70" t="s">
        <v>210</v>
      </c>
      <c r="E104" s="71" t="s">
        <v>184</v>
      </c>
      <c r="F104" s="72"/>
      <c r="G104" s="90">
        <v>0.25</v>
      </c>
      <c r="H104" s="74">
        <v>5750000</v>
      </c>
      <c r="I104" s="74"/>
      <c r="J104" s="74"/>
      <c r="K104" s="74">
        <f t="shared" si="71"/>
        <v>5750000</v>
      </c>
      <c r="L104" s="74"/>
      <c r="M104" s="74"/>
      <c r="N104" s="74">
        <f t="shared" si="72"/>
        <v>5750000</v>
      </c>
      <c r="O104" s="91">
        <f t="shared" si="73"/>
        <v>4</v>
      </c>
      <c r="P104" s="72">
        <f t="shared" si="65"/>
        <v>48</v>
      </c>
      <c r="Q104" s="72">
        <f t="shared" si="74"/>
        <v>6</v>
      </c>
      <c r="R104" s="92">
        <f t="shared" si="75"/>
        <v>2017</v>
      </c>
      <c r="S104" s="93">
        <f t="shared" si="76"/>
        <v>5</v>
      </c>
      <c r="T104" s="94">
        <f t="shared" si="77"/>
        <v>2021</v>
      </c>
      <c r="U104" s="96">
        <f t="shared" si="66"/>
        <v>119791.66666666667</v>
      </c>
      <c r="V104" s="73">
        <v>0</v>
      </c>
      <c r="W104" s="73">
        <v>48</v>
      </c>
      <c r="X104" s="96">
        <f t="shared" si="78"/>
        <v>0</v>
      </c>
      <c r="Y104" s="96">
        <v>5750000</v>
      </c>
      <c r="Z104" s="96">
        <f t="shared" si="79"/>
        <v>0</v>
      </c>
      <c r="AA104" s="73">
        <f t="shared" si="80"/>
        <v>0</v>
      </c>
      <c r="AB104" s="73">
        <f t="shared" si="97"/>
        <v>48</v>
      </c>
      <c r="AC104" s="96">
        <f t="shared" si="81"/>
        <v>0</v>
      </c>
      <c r="AD104" s="96">
        <f t="shared" si="98"/>
        <v>5750000</v>
      </c>
      <c r="AE104" s="96">
        <f t="shared" si="82"/>
        <v>0</v>
      </c>
      <c r="AF104" s="73">
        <f t="shared" si="112"/>
        <v>0</v>
      </c>
      <c r="AG104" s="73">
        <f t="shared" si="99"/>
        <v>48</v>
      </c>
      <c r="AH104" s="96">
        <f t="shared" si="100"/>
        <v>0</v>
      </c>
      <c r="AI104" s="96">
        <f t="shared" si="83"/>
        <v>5750000</v>
      </c>
      <c r="AJ104" s="96">
        <f t="shared" si="84"/>
        <v>0</v>
      </c>
      <c r="AK104" s="73">
        <f t="shared" si="101"/>
        <v>0</v>
      </c>
      <c r="AL104" s="73">
        <f t="shared" si="102"/>
        <v>48</v>
      </c>
      <c r="AM104" s="96">
        <f t="shared" si="103"/>
        <v>0</v>
      </c>
      <c r="AN104" s="96">
        <f t="shared" si="104"/>
        <v>5750000</v>
      </c>
      <c r="AO104" s="96">
        <f t="shared" si="105"/>
        <v>0</v>
      </c>
      <c r="AP104" s="73">
        <f t="shared" si="106"/>
        <v>0</v>
      </c>
      <c r="AQ104" s="73">
        <f t="shared" si="107"/>
        <v>48</v>
      </c>
      <c r="AR104" s="96">
        <f t="shared" si="108"/>
        <v>0</v>
      </c>
      <c r="AS104" s="96">
        <f t="shared" si="109"/>
        <v>5750000</v>
      </c>
      <c r="AT104" s="96">
        <f t="shared" si="110"/>
        <v>0</v>
      </c>
      <c r="AU104" s="60"/>
      <c r="AV104" s="202">
        <f t="shared" si="111"/>
        <v>0</v>
      </c>
      <c r="AW104" s="203">
        <f t="shared" si="85"/>
        <v>0</v>
      </c>
      <c r="AX104" s="203">
        <f t="shared" si="86"/>
        <v>0</v>
      </c>
      <c r="AY104" s="203">
        <f t="shared" si="87"/>
        <v>0</v>
      </c>
      <c r="AZ104" s="203">
        <f t="shared" si="88"/>
        <v>0</v>
      </c>
      <c r="BA104" s="203">
        <f t="shared" si="89"/>
        <v>0</v>
      </c>
      <c r="BB104" s="203">
        <f t="shared" si="90"/>
        <v>0</v>
      </c>
      <c r="BC104" s="203">
        <f t="shared" si="91"/>
        <v>0</v>
      </c>
      <c r="BD104" s="203">
        <f t="shared" si="92"/>
        <v>0</v>
      </c>
      <c r="BE104" s="203">
        <f t="shared" si="93"/>
        <v>0</v>
      </c>
      <c r="BF104" s="203">
        <f t="shared" si="94"/>
        <v>0</v>
      </c>
      <c r="BG104" s="203">
        <f t="shared" si="95"/>
        <v>0</v>
      </c>
      <c r="BH104" s="203">
        <f t="shared" si="96"/>
        <v>0</v>
      </c>
    </row>
    <row r="105" spans="2:60" x14ac:dyDescent="0.2">
      <c r="B105" s="68"/>
      <c r="C105" s="89">
        <v>42942</v>
      </c>
      <c r="D105" s="70" t="s">
        <v>211</v>
      </c>
      <c r="E105" s="71" t="s">
        <v>212</v>
      </c>
      <c r="F105" s="72"/>
      <c r="G105" s="90">
        <v>0.25</v>
      </c>
      <c r="H105" s="74">
        <v>1225000</v>
      </c>
      <c r="I105" s="74"/>
      <c r="J105" s="74"/>
      <c r="K105" s="74">
        <f t="shared" si="71"/>
        <v>1225000</v>
      </c>
      <c r="L105" s="74"/>
      <c r="M105" s="74"/>
      <c r="N105" s="74">
        <f t="shared" si="72"/>
        <v>1225000</v>
      </c>
      <c r="O105" s="91">
        <f t="shared" si="73"/>
        <v>4</v>
      </c>
      <c r="P105" s="72">
        <f>O105*12</f>
        <v>48</v>
      </c>
      <c r="Q105" s="72">
        <f t="shared" si="74"/>
        <v>7</v>
      </c>
      <c r="R105" s="92">
        <f t="shared" si="75"/>
        <v>2017</v>
      </c>
      <c r="S105" s="93">
        <f t="shared" si="76"/>
        <v>6</v>
      </c>
      <c r="T105" s="94">
        <f t="shared" si="77"/>
        <v>2021</v>
      </c>
      <c r="U105" s="96">
        <f>K105/P105</f>
        <v>25520.833333333332</v>
      </c>
      <c r="V105" s="73">
        <v>0</v>
      </c>
      <c r="W105" s="73">
        <v>48</v>
      </c>
      <c r="X105" s="96">
        <f t="shared" si="78"/>
        <v>0</v>
      </c>
      <c r="Y105" s="96">
        <v>1225000</v>
      </c>
      <c r="Z105" s="96">
        <f t="shared" si="79"/>
        <v>0</v>
      </c>
      <c r="AA105" s="73">
        <f t="shared" si="80"/>
        <v>0</v>
      </c>
      <c r="AB105" s="73">
        <f t="shared" si="97"/>
        <v>48</v>
      </c>
      <c r="AC105" s="96">
        <f t="shared" si="81"/>
        <v>0</v>
      </c>
      <c r="AD105" s="96">
        <f t="shared" si="98"/>
        <v>1225000</v>
      </c>
      <c r="AE105" s="96">
        <f t="shared" si="82"/>
        <v>0</v>
      </c>
      <c r="AF105" s="73">
        <f t="shared" si="112"/>
        <v>0</v>
      </c>
      <c r="AG105" s="73">
        <f t="shared" si="99"/>
        <v>48</v>
      </c>
      <c r="AH105" s="96">
        <f t="shared" si="100"/>
        <v>0</v>
      </c>
      <c r="AI105" s="96">
        <f t="shared" si="83"/>
        <v>1225000</v>
      </c>
      <c r="AJ105" s="96">
        <f t="shared" si="84"/>
        <v>0</v>
      </c>
      <c r="AK105" s="73">
        <f t="shared" si="101"/>
        <v>0</v>
      </c>
      <c r="AL105" s="73">
        <f t="shared" si="102"/>
        <v>48</v>
      </c>
      <c r="AM105" s="96">
        <f t="shared" si="103"/>
        <v>0</v>
      </c>
      <c r="AN105" s="96">
        <f t="shared" si="104"/>
        <v>1225000</v>
      </c>
      <c r="AO105" s="96">
        <f t="shared" si="105"/>
        <v>0</v>
      </c>
      <c r="AP105" s="73">
        <f t="shared" si="106"/>
        <v>0</v>
      </c>
      <c r="AQ105" s="73">
        <f t="shared" si="107"/>
        <v>48</v>
      </c>
      <c r="AR105" s="96">
        <f t="shared" si="108"/>
        <v>0</v>
      </c>
      <c r="AS105" s="96">
        <f t="shared" si="109"/>
        <v>1225000</v>
      </c>
      <c r="AT105" s="96">
        <f t="shared" si="110"/>
        <v>0</v>
      </c>
      <c r="AU105" s="60"/>
      <c r="AV105" s="202">
        <f t="shared" si="111"/>
        <v>0</v>
      </c>
      <c r="AW105" s="203">
        <f t="shared" si="85"/>
        <v>0</v>
      </c>
      <c r="AX105" s="203">
        <f t="shared" si="86"/>
        <v>0</v>
      </c>
      <c r="AY105" s="203">
        <f t="shared" si="87"/>
        <v>0</v>
      </c>
      <c r="AZ105" s="203">
        <f t="shared" si="88"/>
        <v>0</v>
      </c>
      <c r="BA105" s="203">
        <f t="shared" si="89"/>
        <v>0</v>
      </c>
      <c r="BB105" s="203">
        <f t="shared" si="90"/>
        <v>0</v>
      </c>
      <c r="BC105" s="203">
        <f t="shared" si="91"/>
        <v>0</v>
      </c>
      <c r="BD105" s="203">
        <f t="shared" si="92"/>
        <v>0</v>
      </c>
      <c r="BE105" s="203">
        <f t="shared" si="93"/>
        <v>0</v>
      </c>
      <c r="BF105" s="203">
        <f t="shared" si="94"/>
        <v>0</v>
      </c>
      <c r="BG105" s="203">
        <f t="shared" si="95"/>
        <v>0</v>
      </c>
      <c r="BH105" s="203">
        <f t="shared" si="96"/>
        <v>0</v>
      </c>
    </row>
    <row r="106" spans="2:60" x14ac:dyDescent="0.2">
      <c r="B106" s="68"/>
      <c r="C106" s="89">
        <v>42956</v>
      </c>
      <c r="D106" s="70" t="s">
        <v>213</v>
      </c>
      <c r="E106" s="71" t="s">
        <v>214</v>
      </c>
      <c r="F106" s="72"/>
      <c r="G106" s="90">
        <v>0.25</v>
      </c>
      <c r="H106" s="74">
        <v>10060000</v>
      </c>
      <c r="I106" s="74"/>
      <c r="J106" s="74"/>
      <c r="K106" s="74">
        <f t="shared" si="71"/>
        <v>10060000</v>
      </c>
      <c r="L106" s="74"/>
      <c r="M106" s="74"/>
      <c r="N106" s="74">
        <f t="shared" si="72"/>
        <v>10060000</v>
      </c>
      <c r="O106" s="91">
        <f t="shared" si="73"/>
        <v>4</v>
      </c>
      <c r="P106" s="72">
        <f t="shared" ref="P106:P120" si="113">O106*12</f>
        <v>48</v>
      </c>
      <c r="Q106" s="72">
        <f t="shared" si="74"/>
        <v>8</v>
      </c>
      <c r="R106" s="92">
        <f t="shared" si="75"/>
        <v>2017</v>
      </c>
      <c r="S106" s="93">
        <f t="shared" si="76"/>
        <v>7</v>
      </c>
      <c r="T106" s="94">
        <f t="shared" si="77"/>
        <v>2021</v>
      </c>
      <c r="U106" s="96">
        <f t="shared" ref="U106:U120" si="114">K106/P106</f>
        <v>209583.33333333334</v>
      </c>
      <c r="V106" s="73">
        <v>0</v>
      </c>
      <c r="W106" s="73">
        <v>48</v>
      </c>
      <c r="X106" s="96">
        <f t="shared" si="78"/>
        <v>0</v>
      </c>
      <c r="Y106" s="96">
        <v>10060000.000000002</v>
      </c>
      <c r="Z106" s="96">
        <f t="shared" si="79"/>
        <v>0</v>
      </c>
      <c r="AA106" s="73">
        <f t="shared" si="80"/>
        <v>0</v>
      </c>
      <c r="AB106" s="73">
        <f t="shared" si="97"/>
        <v>48</v>
      </c>
      <c r="AC106" s="96">
        <f t="shared" si="81"/>
        <v>0</v>
      </c>
      <c r="AD106" s="96">
        <f t="shared" si="98"/>
        <v>10060000.000000002</v>
      </c>
      <c r="AE106" s="96">
        <f t="shared" si="82"/>
        <v>0</v>
      </c>
      <c r="AF106" s="73">
        <f t="shared" si="112"/>
        <v>0</v>
      </c>
      <c r="AG106" s="73">
        <f t="shared" si="99"/>
        <v>48</v>
      </c>
      <c r="AH106" s="96">
        <f t="shared" si="100"/>
        <v>0</v>
      </c>
      <c r="AI106" s="96">
        <f t="shared" si="83"/>
        <v>10060000.000000002</v>
      </c>
      <c r="AJ106" s="96">
        <f t="shared" si="84"/>
        <v>0</v>
      </c>
      <c r="AK106" s="73">
        <f t="shared" si="101"/>
        <v>0</v>
      </c>
      <c r="AL106" s="73">
        <f t="shared" si="102"/>
        <v>48</v>
      </c>
      <c r="AM106" s="96">
        <f t="shared" si="103"/>
        <v>0</v>
      </c>
      <c r="AN106" s="96">
        <f t="shared" si="104"/>
        <v>10060000.000000002</v>
      </c>
      <c r="AO106" s="96">
        <f t="shared" si="105"/>
        <v>0</v>
      </c>
      <c r="AP106" s="73">
        <f t="shared" si="106"/>
        <v>0</v>
      </c>
      <c r="AQ106" s="73">
        <f t="shared" si="107"/>
        <v>48</v>
      </c>
      <c r="AR106" s="96">
        <f t="shared" si="108"/>
        <v>0</v>
      </c>
      <c r="AS106" s="96">
        <f t="shared" si="109"/>
        <v>10060000.000000002</v>
      </c>
      <c r="AT106" s="96">
        <f t="shared" si="110"/>
        <v>0</v>
      </c>
      <c r="AU106" s="60"/>
      <c r="AV106" s="202">
        <f t="shared" si="111"/>
        <v>0</v>
      </c>
      <c r="AW106" s="203">
        <f t="shared" si="85"/>
        <v>0</v>
      </c>
      <c r="AX106" s="203">
        <f t="shared" si="86"/>
        <v>0</v>
      </c>
      <c r="AY106" s="203">
        <f t="shared" si="87"/>
        <v>0</v>
      </c>
      <c r="AZ106" s="203">
        <f t="shared" si="88"/>
        <v>0</v>
      </c>
      <c r="BA106" s="203">
        <f t="shared" si="89"/>
        <v>0</v>
      </c>
      <c r="BB106" s="203">
        <f t="shared" si="90"/>
        <v>0</v>
      </c>
      <c r="BC106" s="203">
        <f t="shared" si="91"/>
        <v>0</v>
      </c>
      <c r="BD106" s="203">
        <f t="shared" si="92"/>
        <v>0</v>
      </c>
      <c r="BE106" s="203">
        <f t="shared" si="93"/>
        <v>0</v>
      </c>
      <c r="BF106" s="203">
        <f t="shared" si="94"/>
        <v>0</v>
      </c>
      <c r="BG106" s="203">
        <f t="shared" si="95"/>
        <v>0</v>
      </c>
      <c r="BH106" s="203">
        <f t="shared" si="96"/>
        <v>0</v>
      </c>
    </row>
    <row r="107" spans="2:60" x14ac:dyDescent="0.2">
      <c r="B107" s="68"/>
      <c r="C107" s="89">
        <v>42956</v>
      </c>
      <c r="D107" s="70" t="s">
        <v>215</v>
      </c>
      <c r="E107" s="71" t="s">
        <v>184</v>
      </c>
      <c r="F107" s="72"/>
      <c r="G107" s="90">
        <v>0.25</v>
      </c>
      <c r="H107" s="74">
        <v>4725000</v>
      </c>
      <c r="I107" s="74"/>
      <c r="J107" s="74"/>
      <c r="K107" s="74">
        <f t="shared" si="71"/>
        <v>4725000</v>
      </c>
      <c r="L107" s="74"/>
      <c r="M107" s="74"/>
      <c r="N107" s="74">
        <f t="shared" si="72"/>
        <v>4725000</v>
      </c>
      <c r="O107" s="91">
        <f t="shared" si="73"/>
        <v>4</v>
      </c>
      <c r="P107" s="72">
        <f t="shared" si="113"/>
        <v>48</v>
      </c>
      <c r="Q107" s="72">
        <f t="shared" si="74"/>
        <v>8</v>
      </c>
      <c r="R107" s="92">
        <f t="shared" si="75"/>
        <v>2017</v>
      </c>
      <c r="S107" s="93">
        <f t="shared" si="76"/>
        <v>7</v>
      </c>
      <c r="T107" s="94">
        <f t="shared" si="77"/>
        <v>2021</v>
      </c>
      <c r="U107" s="96">
        <f t="shared" si="114"/>
        <v>98437.5</v>
      </c>
      <c r="V107" s="73">
        <v>0</v>
      </c>
      <c r="W107" s="73">
        <v>48</v>
      </c>
      <c r="X107" s="96">
        <f t="shared" si="78"/>
        <v>0</v>
      </c>
      <c r="Y107" s="96">
        <v>4725000</v>
      </c>
      <c r="Z107" s="96">
        <f t="shared" si="79"/>
        <v>0</v>
      </c>
      <c r="AA107" s="73">
        <f t="shared" si="80"/>
        <v>0</v>
      </c>
      <c r="AB107" s="73">
        <f t="shared" si="97"/>
        <v>48</v>
      </c>
      <c r="AC107" s="96">
        <f t="shared" si="81"/>
        <v>0</v>
      </c>
      <c r="AD107" s="96">
        <f t="shared" si="98"/>
        <v>4725000</v>
      </c>
      <c r="AE107" s="96">
        <f t="shared" si="82"/>
        <v>0</v>
      </c>
      <c r="AF107" s="73">
        <f t="shared" si="112"/>
        <v>0</v>
      </c>
      <c r="AG107" s="73">
        <f t="shared" si="99"/>
        <v>48</v>
      </c>
      <c r="AH107" s="96">
        <f t="shared" si="100"/>
        <v>0</v>
      </c>
      <c r="AI107" s="96">
        <f t="shared" si="83"/>
        <v>4725000</v>
      </c>
      <c r="AJ107" s="96">
        <f t="shared" si="84"/>
        <v>0</v>
      </c>
      <c r="AK107" s="73">
        <f t="shared" si="101"/>
        <v>0</v>
      </c>
      <c r="AL107" s="73">
        <f t="shared" si="102"/>
        <v>48</v>
      </c>
      <c r="AM107" s="96">
        <f t="shared" si="103"/>
        <v>0</v>
      </c>
      <c r="AN107" s="96">
        <f t="shared" si="104"/>
        <v>4725000</v>
      </c>
      <c r="AO107" s="96">
        <f t="shared" si="105"/>
        <v>0</v>
      </c>
      <c r="AP107" s="73">
        <f t="shared" si="106"/>
        <v>0</v>
      </c>
      <c r="AQ107" s="73">
        <f t="shared" si="107"/>
        <v>48</v>
      </c>
      <c r="AR107" s="96">
        <f t="shared" si="108"/>
        <v>0</v>
      </c>
      <c r="AS107" s="96">
        <f t="shared" si="109"/>
        <v>4725000</v>
      </c>
      <c r="AT107" s="96">
        <f t="shared" si="110"/>
        <v>0</v>
      </c>
      <c r="AU107" s="60"/>
      <c r="AV107" s="202">
        <f t="shared" si="111"/>
        <v>0</v>
      </c>
      <c r="AW107" s="203">
        <f t="shared" si="85"/>
        <v>0</v>
      </c>
      <c r="AX107" s="203">
        <f t="shared" si="86"/>
        <v>0</v>
      </c>
      <c r="AY107" s="203">
        <f t="shared" si="87"/>
        <v>0</v>
      </c>
      <c r="AZ107" s="203">
        <f t="shared" si="88"/>
        <v>0</v>
      </c>
      <c r="BA107" s="203">
        <f t="shared" si="89"/>
        <v>0</v>
      </c>
      <c r="BB107" s="203">
        <f t="shared" si="90"/>
        <v>0</v>
      </c>
      <c r="BC107" s="203">
        <f t="shared" si="91"/>
        <v>0</v>
      </c>
      <c r="BD107" s="203">
        <f t="shared" si="92"/>
        <v>0</v>
      </c>
      <c r="BE107" s="203">
        <f t="shared" si="93"/>
        <v>0</v>
      </c>
      <c r="BF107" s="203">
        <f t="shared" si="94"/>
        <v>0</v>
      </c>
      <c r="BG107" s="203">
        <f t="shared" si="95"/>
        <v>0</v>
      </c>
      <c r="BH107" s="203">
        <f t="shared" si="96"/>
        <v>0</v>
      </c>
    </row>
    <row r="108" spans="2:60" x14ac:dyDescent="0.2">
      <c r="B108" s="68"/>
      <c r="C108" s="89">
        <v>42970</v>
      </c>
      <c r="D108" s="70" t="s">
        <v>216</v>
      </c>
      <c r="E108" s="71" t="s">
        <v>217</v>
      </c>
      <c r="F108" s="72"/>
      <c r="G108" s="90">
        <v>0.25</v>
      </c>
      <c r="H108" s="74">
        <v>115000</v>
      </c>
      <c r="I108" s="74"/>
      <c r="J108" s="74"/>
      <c r="K108" s="74">
        <f t="shared" si="71"/>
        <v>115000</v>
      </c>
      <c r="L108" s="74"/>
      <c r="M108" s="74"/>
      <c r="N108" s="74">
        <f t="shared" si="72"/>
        <v>115000</v>
      </c>
      <c r="O108" s="91">
        <f t="shared" si="73"/>
        <v>4</v>
      </c>
      <c r="P108" s="72">
        <f t="shared" si="113"/>
        <v>48</v>
      </c>
      <c r="Q108" s="72">
        <f>MONTH(C108)</f>
        <v>8</v>
      </c>
      <c r="R108" s="92">
        <f t="shared" si="75"/>
        <v>2017</v>
      </c>
      <c r="S108" s="93">
        <f t="shared" si="76"/>
        <v>7</v>
      </c>
      <c r="T108" s="94">
        <f t="shared" si="77"/>
        <v>2021</v>
      </c>
      <c r="U108" s="96">
        <f t="shared" si="114"/>
        <v>2395.8333333333335</v>
      </c>
      <c r="V108" s="73">
        <v>0</v>
      </c>
      <c r="W108" s="73">
        <v>48</v>
      </c>
      <c r="X108" s="96">
        <f t="shared" ref="X108:X125" si="115">+V108*U108</f>
        <v>0</v>
      </c>
      <c r="Y108" s="96">
        <v>115000</v>
      </c>
      <c r="Z108" s="96">
        <f t="shared" ref="Z108:Z125" si="116">N108-Y108</f>
        <v>0</v>
      </c>
      <c r="AA108" s="73">
        <f t="shared" ref="AA108:AA125" si="117">IF(W108&gt;=P108-12,P108-W108,12)</f>
        <v>0</v>
      </c>
      <c r="AB108" s="73">
        <f t="shared" si="97"/>
        <v>48</v>
      </c>
      <c r="AC108" s="96">
        <f t="shared" ref="AC108:AC125" si="118">+AA108*U108</f>
        <v>0</v>
      </c>
      <c r="AD108" s="96">
        <f t="shared" si="98"/>
        <v>115000</v>
      </c>
      <c r="AE108" s="96">
        <f t="shared" ref="AE108:AE125" si="119">N108-AD108</f>
        <v>0</v>
      </c>
      <c r="AF108" s="73">
        <f t="shared" si="112"/>
        <v>0</v>
      </c>
      <c r="AG108" s="73">
        <f t="shared" si="99"/>
        <v>48</v>
      </c>
      <c r="AH108" s="96">
        <f t="shared" si="100"/>
        <v>0</v>
      </c>
      <c r="AI108" s="96">
        <f t="shared" ref="AI108:AI125" si="120">AD108+AH108</f>
        <v>115000</v>
      </c>
      <c r="AJ108" s="96">
        <f t="shared" ref="AJ108:AJ125" si="121">N108-AI108</f>
        <v>0</v>
      </c>
      <c r="AK108" s="73">
        <f t="shared" si="101"/>
        <v>0</v>
      </c>
      <c r="AL108" s="73">
        <f t="shared" si="102"/>
        <v>48</v>
      </c>
      <c r="AM108" s="96">
        <f t="shared" si="103"/>
        <v>0</v>
      </c>
      <c r="AN108" s="96">
        <f t="shared" si="104"/>
        <v>115000</v>
      </c>
      <c r="AO108" s="96">
        <f t="shared" si="105"/>
        <v>0</v>
      </c>
      <c r="AP108" s="73">
        <f t="shared" si="106"/>
        <v>0</v>
      </c>
      <c r="AQ108" s="73">
        <f t="shared" si="107"/>
        <v>48</v>
      </c>
      <c r="AR108" s="96">
        <f t="shared" si="108"/>
        <v>0</v>
      </c>
      <c r="AS108" s="96">
        <f t="shared" si="109"/>
        <v>115000</v>
      </c>
      <c r="AT108" s="96">
        <f t="shared" si="110"/>
        <v>0</v>
      </c>
      <c r="AU108" s="60"/>
      <c r="AV108" s="202">
        <f t="shared" si="111"/>
        <v>0</v>
      </c>
      <c r="AW108" s="203">
        <f t="shared" ref="AW108:AW125" si="122">+U108*0</f>
        <v>0</v>
      </c>
      <c r="AX108" s="203">
        <f t="shared" ref="AX108:AX125" si="123">+U108*0</f>
        <v>0</v>
      </c>
      <c r="AY108" s="203">
        <f t="shared" ref="AY108:AY125" si="124">+U108*0</f>
        <v>0</v>
      </c>
      <c r="AZ108" s="203">
        <f t="shared" ref="AZ108:AZ125" si="125">+U108*0</f>
        <v>0</v>
      </c>
      <c r="BA108" s="203">
        <f t="shared" ref="BA108:BA125" si="126">+U108*0</f>
        <v>0</v>
      </c>
      <c r="BB108" s="203">
        <f t="shared" ref="BB108:BB125" si="127">+U108*0</f>
        <v>0</v>
      </c>
      <c r="BC108" s="203">
        <f t="shared" ref="BC108:BC125" si="128">+U108*0</f>
        <v>0</v>
      </c>
      <c r="BD108" s="203">
        <f t="shared" ref="BD108:BD125" si="129">+U108*0</f>
        <v>0</v>
      </c>
      <c r="BE108" s="203">
        <f t="shared" ref="BE108:BE125" si="130">+U108*0</f>
        <v>0</v>
      </c>
      <c r="BF108" s="203">
        <f t="shared" ref="BF108:BF125" si="131">+U108*0</f>
        <v>0</v>
      </c>
      <c r="BG108" s="203">
        <f t="shared" ref="BG108:BG125" si="132">+U108*0</f>
        <v>0</v>
      </c>
      <c r="BH108" s="203">
        <f t="shared" ref="BH108:BH125" si="133">+U108*0</f>
        <v>0</v>
      </c>
    </row>
    <row r="109" spans="2:60" x14ac:dyDescent="0.2">
      <c r="B109" s="68"/>
      <c r="C109" s="89">
        <v>43008</v>
      </c>
      <c r="D109" s="70" t="s">
        <v>218</v>
      </c>
      <c r="E109" s="71" t="s">
        <v>219</v>
      </c>
      <c r="F109" s="72"/>
      <c r="G109" s="90">
        <v>0.25</v>
      </c>
      <c r="H109" s="74">
        <v>7109000</v>
      </c>
      <c r="I109" s="74"/>
      <c r="J109" s="74"/>
      <c r="K109" s="74">
        <f t="shared" si="71"/>
        <v>7109000</v>
      </c>
      <c r="L109" s="74"/>
      <c r="M109" s="74"/>
      <c r="N109" s="74">
        <f t="shared" si="72"/>
        <v>7109000</v>
      </c>
      <c r="O109" s="91">
        <f t="shared" si="73"/>
        <v>4</v>
      </c>
      <c r="P109" s="72">
        <f t="shared" si="113"/>
        <v>48</v>
      </c>
      <c r="Q109" s="72">
        <f t="shared" si="74"/>
        <v>9</v>
      </c>
      <c r="R109" s="92">
        <f t="shared" si="75"/>
        <v>2017</v>
      </c>
      <c r="S109" s="93">
        <f t="shared" si="76"/>
        <v>8</v>
      </c>
      <c r="T109" s="94">
        <f t="shared" si="77"/>
        <v>2021</v>
      </c>
      <c r="U109" s="96">
        <f t="shared" si="114"/>
        <v>148104.16666666666</v>
      </c>
      <c r="V109" s="73">
        <v>0</v>
      </c>
      <c r="W109" s="73">
        <v>48</v>
      </c>
      <c r="X109" s="96">
        <f t="shared" si="115"/>
        <v>0</v>
      </c>
      <c r="Y109" s="96">
        <v>7108999.9999999991</v>
      </c>
      <c r="Z109" s="96">
        <f t="shared" si="116"/>
        <v>0</v>
      </c>
      <c r="AA109" s="73">
        <f t="shared" si="117"/>
        <v>0</v>
      </c>
      <c r="AB109" s="73">
        <f t="shared" si="97"/>
        <v>48</v>
      </c>
      <c r="AC109" s="96">
        <f t="shared" si="118"/>
        <v>0</v>
      </c>
      <c r="AD109" s="96">
        <f t="shared" si="98"/>
        <v>7108999.9999999991</v>
      </c>
      <c r="AE109" s="96">
        <f t="shared" si="119"/>
        <v>0</v>
      </c>
      <c r="AF109" s="73">
        <f t="shared" si="112"/>
        <v>0</v>
      </c>
      <c r="AG109" s="73">
        <f t="shared" si="99"/>
        <v>48</v>
      </c>
      <c r="AH109" s="96">
        <f t="shared" si="100"/>
        <v>0</v>
      </c>
      <c r="AI109" s="96">
        <f t="shared" si="120"/>
        <v>7108999.9999999991</v>
      </c>
      <c r="AJ109" s="96">
        <f t="shared" si="121"/>
        <v>0</v>
      </c>
      <c r="AK109" s="73">
        <f t="shared" si="101"/>
        <v>0</v>
      </c>
      <c r="AL109" s="73">
        <f t="shared" si="102"/>
        <v>48</v>
      </c>
      <c r="AM109" s="96">
        <f>+AK109*U109</f>
        <v>0</v>
      </c>
      <c r="AN109" s="96">
        <f t="shared" si="104"/>
        <v>7108999.9999999991</v>
      </c>
      <c r="AO109" s="96">
        <f t="shared" si="105"/>
        <v>0</v>
      </c>
      <c r="AP109" s="73">
        <f t="shared" si="106"/>
        <v>0</v>
      </c>
      <c r="AQ109" s="73">
        <f t="shared" si="107"/>
        <v>48</v>
      </c>
      <c r="AR109" s="96">
        <f>+AP109*Z109</f>
        <v>0</v>
      </c>
      <c r="AS109" s="96">
        <f t="shared" si="109"/>
        <v>7108999.9999999991</v>
      </c>
      <c r="AT109" s="96">
        <f t="shared" si="110"/>
        <v>0</v>
      </c>
      <c r="AU109" s="60"/>
      <c r="AV109" s="202">
        <f t="shared" si="111"/>
        <v>0</v>
      </c>
      <c r="AW109" s="203">
        <f t="shared" si="122"/>
        <v>0</v>
      </c>
      <c r="AX109" s="203">
        <f t="shared" si="123"/>
        <v>0</v>
      </c>
      <c r="AY109" s="203">
        <f t="shared" si="124"/>
        <v>0</v>
      </c>
      <c r="AZ109" s="203">
        <f t="shared" si="125"/>
        <v>0</v>
      </c>
      <c r="BA109" s="203">
        <f t="shared" si="126"/>
        <v>0</v>
      </c>
      <c r="BB109" s="203">
        <f t="shared" si="127"/>
        <v>0</v>
      </c>
      <c r="BC109" s="203">
        <f t="shared" si="128"/>
        <v>0</v>
      </c>
      <c r="BD109" s="203">
        <f t="shared" si="129"/>
        <v>0</v>
      </c>
      <c r="BE109" s="203">
        <f t="shared" si="130"/>
        <v>0</v>
      </c>
      <c r="BF109" s="203">
        <f t="shared" si="131"/>
        <v>0</v>
      </c>
      <c r="BG109" s="203">
        <f t="shared" si="132"/>
        <v>0</v>
      </c>
      <c r="BH109" s="203">
        <f t="shared" si="133"/>
        <v>0</v>
      </c>
    </row>
    <row r="110" spans="2:60" x14ac:dyDescent="0.2">
      <c r="B110" s="68"/>
      <c r="C110" s="89">
        <v>43008</v>
      </c>
      <c r="D110" s="70" t="s">
        <v>218</v>
      </c>
      <c r="E110" s="71" t="s">
        <v>220</v>
      </c>
      <c r="F110" s="72"/>
      <c r="G110" s="90">
        <v>0.25</v>
      </c>
      <c r="H110" s="74">
        <v>4179000</v>
      </c>
      <c r="I110" s="74"/>
      <c r="J110" s="74"/>
      <c r="K110" s="74">
        <f t="shared" si="71"/>
        <v>4179000</v>
      </c>
      <c r="L110" s="74"/>
      <c r="M110" s="74"/>
      <c r="N110" s="74">
        <f t="shared" si="72"/>
        <v>4179000</v>
      </c>
      <c r="O110" s="91">
        <f t="shared" si="73"/>
        <v>4</v>
      </c>
      <c r="P110" s="72">
        <f t="shared" si="113"/>
        <v>48</v>
      </c>
      <c r="Q110" s="72">
        <f t="shared" si="74"/>
        <v>9</v>
      </c>
      <c r="R110" s="92">
        <f t="shared" si="75"/>
        <v>2017</v>
      </c>
      <c r="S110" s="93">
        <f t="shared" si="76"/>
        <v>8</v>
      </c>
      <c r="T110" s="94">
        <f t="shared" si="77"/>
        <v>2021</v>
      </c>
      <c r="U110" s="96">
        <f t="shared" si="114"/>
        <v>87062.5</v>
      </c>
      <c r="V110" s="73">
        <v>0</v>
      </c>
      <c r="W110" s="73">
        <v>48</v>
      </c>
      <c r="X110" s="96">
        <f t="shared" si="115"/>
        <v>0</v>
      </c>
      <c r="Y110" s="96">
        <v>4179000</v>
      </c>
      <c r="Z110" s="96">
        <f t="shared" si="116"/>
        <v>0</v>
      </c>
      <c r="AA110" s="73">
        <f t="shared" si="117"/>
        <v>0</v>
      </c>
      <c r="AB110" s="73">
        <f t="shared" si="97"/>
        <v>48</v>
      </c>
      <c r="AC110" s="96">
        <f t="shared" si="118"/>
        <v>0</v>
      </c>
      <c r="AD110" s="96">
        <f t="shared" si="98"/>
        <v>4179000</v>
      </c>
      <c r="AE110" s="96">
        <f t="shared" si="119"/>
        <v>0</v>
      </c>
      <c r="AF110" s="73">
        <f t="shared" si="112"/>
        <v>0</v>
      </c>
      <c r="AG110" s="73">
        <f t="shared" si="99"/>
        <v>48</v>
      </c>
      <c r="AH110" s="96">
        <f t="shared" si="100"/>
        <v>0</v>
      </c>
      <c r="AI110" s="96">
        <f t="shared" si="120"/>
        <v>4179000</v>
      </c>
      <c r="AJ110" s="96">
        <f t="shared" si="121"/>
        <v>0</v>
      </c>
      <c r="AK110" s="73">
        <f t="shared" si="101"/>
        <v>0</v>
      </c>
      <c r="AL110" s="73">
        <f t="shared" si="102"/>
        <v>48</v>
      </c>
      <c r="AM110" s="96">
        <f t="shared" si="103"/>
        <v>0</v>
      </c>
      <c r="AN110" s="96">
        <f t="shared" si="104"/>
        <v>4179000</v>
      </c>
      <c r="AO110" s="96">
        <f t="shared" si="105"/>
        <v>0</v>
      </c>
      <c r="AP110" s="73">
        <f t="shared" si="106"/>
        <v>0</v>
      </c>
      <c r="AQ110" s="73">
        <f t="shared" si="107"/>
        <v>48</v>
      </c>
      <c r="AR110" s="96">
        <f t="shared" ref="AR110:AR125" si="134">+AP110*Z110</f>
        <v>0</v>
      </c>
      <c r="AS110" s="96">
        <f t="shared" si="109"/>
        <v>4179000</v>
      </c>
      <c r="AT110" s="96">
        <f t="shared" si="110"/>
        <v>0</v>
      </c>
      <c r="AU110" s="60"/>
      <c r="AV110" s="202">
        <f t="shared" si="111"/>
        <v>0</v>
      </c>
      <c r="AW110" s="203">
        <f t="shared" si="122"/>
        <v>0</v>
      </c>
      <c r="AX110" s="203">
        <f t="shared" si="123"/>
        <v>0</v>
      </c>
      <c r="AY110" s="203">
        <f t="shared" si="124"/>
        <v>0</v>
      </c>
      <c r="AZ110" s="203">
        <f t="shared" si="125"/>
        <v>0</v>
      </c>
      <c r="BA110" s="203">
        <f t="shared" si="126"/>
        <v>0</v>
      </c>
      <c r="BB110" s="203">
        <f t="shared" si="127"/>
        <v>0</v>
      </c>
      <c r="BC110" s="203">
        <f t="shared" si="128"/>
        <v>0</v>
      </c>
      <c r="BD110" s="203">
        <f t="shared" si="129"/>
        <v>0</v>
      </c>
      <c r="BE110" s="203">
        <f t="shared" si="130"/>
        <v>0</v>
      </c>
      <c r="BF110" s="203">
        <f t="shared" si="131"/>
        <v>0</v>
      </c>
      <c r="BG110" s="203">
        <f t="shared" si="132"/>
        <v>0</v>
      </c>
      <c r="BH110" s="203">
        <f t="shared" si="133"/>
        <v>0</v>
      </c>
    </row>
    <row r="111" spans="2:60" x14ac:dyDescent="0.2">
      <c r="B111" s="68"/>
      <c r="C111" s="89">
        <v>43059</v>
      </c>
      <c r="D111" s="70" t="s">
        <v>221</v>
      </c>
      <c r="E111" s="71" t="s">
        <v>222</v>
      </c>
      <c r="F111" s="72"/>
      <c r="G111" s="90">
        <v>0.25</v>
      </c>
      <c r="H111" s="74">
        <v>2275000</v>
      </c>
      <c r="I111" s="74"/>
      <c r="J111" s="74"/>
      <c r="K111" s="74">
        <f t="shared" si="71"/>
        <v>2275000</v>
      </c>
      <c r="L111" s="74"/>
      <c r="M111" s="74"/>
      <c r="N111" s="74">
        <f t="shared" si="72"/>
        <v>2275000</v>
      </c>
      <c r="O111" s="91">
        <f t="shared" si="73"/>
        <v>4</v>
      </c>
      <c r="P111" s="72">
        <f t="shared" si="113"/>
        <v>48</v>
      </c>
      <c r="Q111" s="72">
        <f t="shared" si="74"/>
        <v>11</v>
      </c>
      <c r="R111" s="92">
        <f t="shared" si="75"/>
        <v>2017</v>
      </c>
      <c r="S111" s="93">
        <f t="shared" si="76"/>
        <v>10</v>
      </c>
      <c r="T111" s="94">
        <f t="shared" si="77"/>
        <v>2021</v>
      </c>
      <c r="U111" s="96">
        <f t="shared" si="114"/>
        <v>47395.833333333336</v>
      </c>
      <c r="V111" s="73">
        <v>0</v>
      </c>
      <c r="W111" s="73">
        <v>48</v>
      </c>
      <c r="X111" s="96">
        <f t="shared" si="115"/>
        <v>0</v>
      </c>
      <c r="Y111" s="96">
        <v>2275000</v>
      </c>
      <c r="Z111" s="96">
        <f t="shared" si="116"/>
        <v>0</v>
      </c>
      <c r="AA111" s="73">
        <f t="shared" si="117"/>
        <v>0</v>
      </c>
      <c r="AB111" s="73">
        <f t="shared" si="97"/>
        <v>48</v>
      </c>
      <c r="AC111" s="96">
        <f t="shared" si="118"/>
        <v>0</v>
      </c>
      <c r="AD111" s="96">
        <f t="shared" si="98"/>
        <v>2275000</v>
      </c>
      <c r="AE111" s="96">
        <f t="shared" si="119"/>
        <v>0</v>
      </c>
      <c r="AF111" s="73">
        <f t="shared" si="112"/>
        <v>0</v>
      </c>
      <c r="AG111" s="73">
        <f t="shared" si="99"/>
        <v>48</v>
      </c>
      <c r="AH111" s="96">
        <f t="shared" si="100"/>
        <v>0</v>
      </c>
      <c r="AI111" s="96">
        <f t="shared" si="120"/>
        <v>2275000</v>
      </c>
      <c r="AJ111" s="96">
        <f t="shared" si="121"/>
        <v>0</v>
      </c>
      <c r="AK111" s="73">
        <f t="shared" si="101"/>
        <v>0</v>
      </c>
      <c r="AL111" s="73">
        <f t="shared" si="102"/>
        <v>48</v>
      </c>
      <c r="AM111" s="96">
        <f t="shared" si="103"/>
        <v>0</v>
      </c>
      <c r="AN111" s="96">
        <f t="shared" si="104"/>
        <v>2275000</v>
      </c>
      <c r="AO111" s="96">
        <f t="shared" si="105"/>
        <v>0</v>
      </c>
      <c r="AP111" s="73">
        <f t="shared" si="106"/>
        <v>0</v>
      </c>
      <c r="AQ111" s="73">
        <f t="shared" si="107"/>
        <v>48</v>
      </c>
      <c r="AR111" s="96">
        <f t="shared" si="134"/>
        <v>0</v>
      </c>
      <c r="AS111" s="96">
        <f t="shared" si="109"/>
        <v>2275000</v>
      </c>
      <c r="AT111" s="96">
        <f t="shared" si="110"/>
        <v>0</v>
      </c>
      <c r="AU111" s="60"/>
      <c r="AV111" s="202">
        <f t="shared" si="111"/>
        <v>0</v>
      </c>
      <c r="AW111" s="203">
        <f t="shared" si="122"/>
        <v>0</v>
      </c>
      <c r="AX111" s="203">
        <f t="shared" si="123"/>
        <v>0</v>
      </c>
      <c r="AY111" s="203">
        <f t="shared" si="124"/>
        <v>0</v>
      </c>
      <c r="AZ111" s="203">
        <f t="shared" si="125"/>
        <v>0</v>
      </c>
      <c r="BA111" s="203">
        <f t="shared" si="126"/>
        <v>0</v>
      </c>
      <c r="BB111" s="203">
        <f t="shared" si="127"/>
        <v>0</v>
      </c>
      <c r="BC111" s="203">
        <f t="shared" si="128"/>
        <v>0</v>
      </c>
      <c r="BD111" s="203">
        <f t="shared" si="129"/>
        <v>0</v>
      </c>
      <c r="BE111" s="203">
        <f t="shared" si="130"/>
        <v>0</v>
      </c>
      <c r="BF111" s="203">
        <f t="shared" si="131"/>
        <v>0</v>
      </c>
      <c r="BG111" s="203">
        <f t="shared" si="132"/>
        <v>0</v>
      </c>
      <c r="BH111" s="203">
        <f t="shared" si="133"/>
        <v>0</v>
      </c>
    </row>
    <row r="112" spans="2:60" x14ac:dyDescent="0.2">
      <c r="B112" s="68"/>
      <c r="C112" s="89">
        <v>43087</v>
      </c>
      <c r="D112" s="70" t="s">
        <v>223</v>
      </c>
      <c r="E112" s="71" t="s">
        <v>224</v>
      </c>
      <c r="F112" s="72"/>
      <c r="G112" s="90">
        <v>0.25</v>
      </c>
      <c r="H112" s="74">
        <v>2275000</v>
      </c>
      <c r="I112" s="74"/>
      <c r="J112" s="74"/>
      <c r="K112" s="74">
        <f t="shared" si="71"/>
        <v>2275000</v>
      </c>
      <c r="L112" s="74"/>
      <c r="M112" s="74"/>
      <c r="N112" s="74">
        <f t="shared" si="72"/>
        <v>2275000</v>
      </c>
      <c r="O112" s="91">
        <f t="shared" si="73"/>
        <v>4</v>
      </c>
      <c r="P112" s="72">
        <f t="shared" si="113"/>
        <v>48</v>
      </c>
      <c r="Q112" s="72">
        <f t="shared" si="74"/>
        <v>12</v>
      </c>
      <c r="R112" s="92">
        <f t="shared" si="75"/>
        <v>2017</v>
      </c>
      <c r="S112" s="93">
        <f t="shared" si="76"/>
        <v>11</v>
      </c>
      <c r="T112" s="94">
        <f t="shared" si="77"/>
        <v>2021</v>
      </c>
      <c r="U112" s="96">
        <f t="shared" si="114"/>
        <v>47395.833333333336</v>
      </c>
      <c r="V112" s="73">
        <v>0</v>
      </c>
      <c r="W112" s="73">
        <v>48</v>
      </c>
      <c r="X112" s="96">
        <f t="shared" si="115"/>
        <v>0</v>
      </c>
      <c r="Y112" s="96">
        <v>2275000</v>
      </c>
      <c r="Z112" s="96">
        <f t="shared" si="116"/>
        <v>0</v>
      </c>
      <c r="AA112" s="73">
        <f t="shared" si="117"/>
        <v>0</v>
      </c>
      <c r="AB112" s="73">
        <f t="shared" si="97"/>
        <v>48</v>
      </c>
      <c r="AC112" s="96">
        <f t="shared" si="118"/>
        <v>0</v>
      </c>
      <c r="AD112" s="96">
        <f t="shared" si="98"/>
        <v>2275000</v>
      </c>
      <c r="AE112" s="96">
        <f t="shared" si="119"/>
        <v>0</v>
      </c>
      <c r="AF112" s="73">
        <f t="shared" si="112"/>
        <v>0</v>
      </c>
      <c r="AG112" s="73">
        <f t="shared" si="99"/>
        <v>48</v>
      </c>
      <c r="AH112" s="96">
        <f t="shared" si="100"/>
        <v>0</v>
      </c>
      <c r="AI112" s="96">
        <f t="shared" si="120"/>
        <v>2275000</v>
      </c>
      <c r="AJ112" s="96">
        <f t="shared" si="121"/>
        <v>0</v>
      </c>
      <c r="AK112" s="73">
        <f t="shared" si="101"/>
        <v>0</v>
      </c>
      <c r="AL112" s="73">
        <f t="shared" si="102"/>
        <v>48</v>
      </c>
      <c r="AM112" s="96">
        <f t="shared" si="103"/>
        <v>0</v>
      </c>
      <c r="AN112" s="96">
        <f t="shared" si="104"/>
        <v>2275000</v>
      </c>
      <c r="AO112" s="96">
        <f t="shared" si="105"/>
        <v>0</v>
      </c>
      <c r="AP112" s="73">
        <f t="shared" si="106"/>
        <v>0</v>
      </c>
      <c r="AQ112" s="73">
        <f t="shared" si="107"/>
        <v>48</v>
      </c>
      <c r="AR112" s="96">
        <f t="shared" si="134"/>
        <v>0</v>
      </c>
      <c r="AS112" s="96">
        <f t="shared" si="109"/>
        <v>2275000</v>
      </c>
      <c r="AT112" s="96">
        <f t="shared" si="110"/>
        <v>0</v>
      </c>
      <c r="AU112" s="60"/>
      <c r="AV112" s="202">
        <f t="shared" si="111"/>
        <v>0</v>
      </c>
      <c r="AW112" s="203">
        <f t="shared" si="122"/>
        <v>0</v>
      </c>
      <c r="AX112" s="203">
        <f t="shared" si="123"/>
        <v>0</v>
      </c>
      <c r="AY112" s="203">
        <f t="shared" si="124"/>
        <v>0</v>
      </c>
      <c r="AZ112" s="203">
        <f t="shared" si="125"/>
        <v>0</v>
      </c>
      <c r="BA112" s="203">
        <f t="shared" si="126"/>
        <v>0</v>
      </c>
      <c r="BB112" s="203">
        <f t="shared" si="127"/>
        <v>0</v>
      </c>
      <c r="BC112" s="203">
        <f t="shared" si="128"/>
        <v>0</v>
      </c>
      <c r="BD112" s="203">
        <f t="shared" si="129"/>
        <v>0</v>
      </c>
      <c r="BE112" s="203">
        <f t="shared" si="130"/>
        <v>0</v>
      </c>
      <c r="BF112" s="203">
        <f t="shared" si="131"/>
        <v>0</v>
      </c>
      <c r="BG112" s="203">
        <f t="shared" si="132"/>
        <v>0</v>
      </c>
      <c r="BH112" s="203">
        <f t="shared" si="133"/>
        <v>0</v>
      </c>
    </row>
    <row r="113" spans="2:60" x14ac:dyDescent="0.2">
      <c r="B113" s="68"/>
      <c r="C113" s="89">
        <v>43100</v>
      </c>
      <c r="D113" s="70" t="s">
        <v>225</v>
      </c>
      <c r="E113" s="71" t="s">
        <v>189</v>
      </c>
      <c r="F113" s="72"/>
      <c r="G113" s="90">
        <v>0.25</v>
      </c>
      <c r="H113" s="74">
        <v>2500000</v>
      </c>
      <c r="I113" s="74"/>
      <c r="J113" s="74"/>
      <c r="K113" s="74">
        <f t="shared" si="71"/>
        <v>2500000</v>
      </c>
      <c r="L113" s="74"/>
      <c r="M113" s="74"/>
      <c r="N113" s="74">
        <f t="shared" si="72"/>
        <v>2500000</v>
      </c>
      <c r="O113" s="91">
        <f t="shared" si="73"/>
        <v>4</v>
      </c>
      <c r="P113" s="72">
        <f t="shared" si="113"/>
        <v>48</v>
      </c>
      <c r="Q113" s="72">
        <f t="shared" si="74"/>
        <v>12</v>
      </c>
      <c r="R113" s="92">
        <f t="shared" si="75"/>
        <v>2017</v>
      </c>
      <c r="S113" s="93">
        <f t="shared" si="76"/>
        <v>11</v>
      </c>
      <c r="T113" s="94">
        <f t="shared" si="77"/>
        <v>2021</v>
      </c>
      <c r="U113" s="96">
        <f t="shared" si="114"/>
        <v>52083.333333333336</v>
      </c>
      <c r="V113" s="73">
        <v>0</v>
      </c>
      <c r="W113" s="73">
        <v>48</v>
      </c>
      <c r="X113" s="96">
        <f t="shared" si="115"/>
        <v>0</v>
      </c>
      <c r="Y113" s="96">
        <v>2500000</v>
      </c>
      <c r="Z113" s="96">
        <f t="shared" si="116"/>
        <v>0</v>
      </c>
      <c r="AA113" s="73">
        <f t="shared" si="117"/>
        <v>0</v>
      </c>
      <c r="AB113" s="73">
        <f t="shared" si="97"/>
        <v>48</v>
      </c>
      <c r="AC113" s="96">
        <f t="shared" si="118"/>
        <v>0</v>
      </c>
      <c r="AD113" s="96">
        <f t="shared" si="98"/>
        <v>2500000</v>
      </c>
      <c r="AE113" s="96">
        <f t="shared" si="119"/>
        <v>0</v>
      </c>
      <c r="AF113" s="73">
        <f t="shared" si="112"/>
        <v>0</v>
      </c>
      <c r="AG113" s="73">
        <f t="shared" si="99"/>
        <v>48</v>
      </c>
      <c r="AH113" s="96">
        <f t="shared" si="100"/>
        <v>0</v>
      </c>
      <c r="AI113" s="96">
        <f t="shared" si="120"/>
        <v>2500000</v>
      </c>
      <c r="AJ113" s="96">
        <f t="shared" si="121"/>
        <v>0</v>
      </c>
      <c r="AK113" s="73">
        <f t="shared" si="101"/>
        <v>0</v>
      </c>
      <c r="AL113" s="73">
        <f t="shared" si="102"/>
        <v>48</v>
      </c>
      <c r="AM113" s="96">
        <f t="shared" si="103"/>
        <v>0</v>
      </c>
      <c r="AN113" s="96">
        <f t="shared" si="104"/>
        <v>2500000</v>
      </c>
      <c r="AO113" s="96">
        <f t="shared" si="105"/>
        <v>0</v>
      </c>
      <c r="AP113" s="73">
        <f t="shared" si="106"/>
        <v>0</v>
      </c>
      <c r="AQ113" s="73">
        <f t="shared" si="107"/>
        <v>48</v>
      </c>
      <c r="AR113" s="96">
        <f t="shared" si="134"/>
        <v>0</v>
      </c>
      <c r="AS113" s="96">
        <f t="shared" si="109"/>
        <v>2500000</v>
      </c>
      <c r="AT113" s="96">
        <f t="shared" si="110"/>
        <v>0</v>
      </c>
      <c r="AU113" s="60"/>
      <c r="AV113" s="202">
        <f t="shared" si="111"/>
        <v>0</v>
      </c>
      <c r="AW113" s="203">
        <f t="shared" si="122"/>
        <v>0</v>
      </c>
      <c r="AX113" s="203">
        <f t="shared" si="123"/>
        <v>0</v>
      </c>
      <c r="AY113" s="203">
        <f t="shared" si="124"/>
        <v>0</v>
      </c>
      <c r="AZ113" s="203">
        <f t="shared" si="125"/>
        <v>0</v>
      </c>
      <c r="BA113" s="203">
        <f t="shared" si="126"/>
        <v>0</v>
      </c>
      <c r="BB113" s="203">
        <f t="shared" si="127"/>
        <v>0</v>
      </c>
      <c r="BC113" s="203">
        <f t="shared" si="128"/>
        <v>0</v>
      </c>
      <c r="BD113" s="203">
        <f t="shared" si="129"/>
        <v>0</v>
      </c>
      <c r="BE113" s="203">
        <f t="shared" si="130"/>
        <v>0</v>
      </c>
      <c r="BF113" s="203">
        <f t="shared" si="131"/>
        <v>0</v>
      </c>
      <c r="BG113" s="203">
        <f t="shared" si="132"/>
        <v>0</v>
      </c>
      <c r="BH113" s="203">
        <f t="shared" si="133"/>
        <v>0</v>
      </c>
    </row>
    <row r="114" spans="2:60" s="11" customFormat="1" x14ac:dyDescent="0.2">
      <c r="B114" s="97"/>
      <c r="C114" s="98">
        <v>43116</v>
      </c>
      <c r="D114" s="99" t="s">
        <v>226</v>
      </c>
      <c r="E114" s="100" t="s">
        <v>227</v>
      </c>
      <c r="F114" s="101"/>
      <c r="G114" s="102">
        <v>0.25</v>
      </c>
      <c r="H114" s="103"/>
      <c r="I114" s="103">
        <v>3800000</v>
      </c>
      <c r="J114" s="103"/>
      <c r="K114" s="103">
        <f t="shared" si="71"/>
        <v>3800000</v>
      </c>
      <c r="L114" s="103"/>
      <c r="M114" s="103"/>
      <c r="N114" s="103">
        <f t="shared" si="72"/>
        <v>3800000</v>
      </c>
      <c r="O114" s="104">
        <f t="shared" si="73"/>
        <v>4</v>
      </c>
      <c r="P114" s="101">
        <f t="shared" si="113"/>
        <v>48</v>
      </c>
      <c r="Q114" s="101">
        <f t="shared" si="74"/>
        <v>1</v>
      </c>
      <c r="R114" s="105">
        <f t="shared" si="75"/>
        <v>2018</v>
      </c>
      <c r="S114" s="106">
        <f t="shared" si="76"/>
        <v>12</v>
      </c>
      <c r="T114" s="107">
        <f t="shared" si="77"/>
        <v>2021</v>
      </c>
      <c r="U114" s="110">
        <f t="shared" si="114"/>
        <v>79166.666666666672</v>
      </c>
      <c r="V114" s="73">
        <v>0</v>
      </c>
      <c r="W114" s="73">
        <v>48</v>
      </c>
      <c r="X114" s="96">
        <f t="shared" si="115"/>
        <v>0</v>
      </c>
      <c r="Y114" s="96">
        <v>3800000</v>
      </c>
      <c r="Z114" s="96">
        <f t="shared" si="116"/>
        <v>0</v>
      </c>
      <c r="AA114" s="73">
        <f t="shared" si="117"/>
        <v>0</v>
      </c>
      <c r="AB114" s="73">
        <f t="shared" si="97"/>
        <v>48</v>
      </c>
      <c r="AC114" s="96">
        <f t="shared" si="118"/>
        <v>0</v>
      </c>
      <c r="AD114" s="96">
        <f t="shared" si="98"/>
        <v>3800000</v>
      </c>
      <c r="AE114" s="96">
        <f t="shared" si="119"/>
        <v>0</v>
      </c>
      <c r="AF114" s="73">
        <f t="shared" si="112"/>
        <v>0</v>
      </c>
      <c r="AG114" s="73">
        <f t="shared" si="99"/>
        <v>48</v>
      </c>
      <c r="AH114" s="96">
        <f t="shared" si="100"/>
        <v>0</v>
      </c>
      <c r="AI114" s="96">
        <f t="shared" si="120"/>
        <v>3800000</v>
      </c>
      <c r="AJ114" s="96">
        <f t="shared" si="121"/>
        <v>0</v>
      </c>
      <c r="AK114" s="73">
        <f t="shared" si="101"/>
        <v>0</v>
      </c>
      <c r="AL114" s="73">
        <f t="shared" si="102"/>
        <v>48</v>
      </c>
      <c r="AM114" s="96">
        <f t="shared" si="103"/>
        <v>0</v>
      </c>
      <c r="AN114" s="96">
        <f t="shared" si="104"/>
        <v>3800000</v>
      </c>
      <c r="AO114" s="96">
        <f t="shared" si="105"/>
        <v>0</v>
      </c>
      <c r="AP114" s="73">
        <f t="shared" si="106"/>
        <v>0</v>
      </c>
      <c r="AQ114" s="73">
        <f t="shared" si="107"/>
        <v>48</v>
      </c>
      <c r="AR114" s="96">
        <f t="shared" si="134"/>
        <v>0</v>
      </c>
      <c r="AS114" s="96">
        <f t="shared" si="109"/>
        <v>3800000</v>
      </c>
      <c r="AT114" s="96">
        <f t="shared" si="110"/>
        <v>0</v>
      </c>
      <c r="AU114" s="111"/>
      <c r="AV114" s="202">
        <f t="shared" si="111"/>
        <v>0</v>
      </c>
      <c r="AW114" s="203">
        <f t="shared" si="122"/>
        <v>0</v>
      </c>
      <c r="AX114" s="203">
        <f t="shared" si="123"/>
        <v>0</v>
      </c>
      <c r="AY114" s="203">
        <f t="shared" si="124"/>
        <v>0</v>
      </c>
      <c r="AZ114" s="203">
        <f t="shared" si="125"/>
        <v>0</v>
      </c>
      <c r="BA114" s="203">
        <f t="shared" si="126"/>
        <v>0</v>
      </c>
      <c r="BB114" s="203">
        <f t="shared" si="127"/>
        <v>0</v>
      </c>
      <c r="BC114" s="203">
        <f t="shared" si="128"/>
        <v>0</v>
      </c>
      <c r="BD114" s="203">
        <f t="shared" si="129"/>
        <v>0</v>
      </c>
      <c r="BE114" s="203">
        <f t="shared" si="130"/>
        <v>0</v>
      </c>
      <c r="BF114" s="203">
        <f t="shared" si="131"/>
        <v>0</v>
      </c>
      <c r="BG114" s="203">
        <f t="shared" si="132"/>
        <v>0</v>
      </c>
      <c r="BH114" s="203">
        <f t="shared" si="133"/>
        <v>0</v>
      </c>
    </row>
    <row r="115" spans="2:60" s="11" customFormat="1" x14ac:dyDescent="0.2">
      <c r="B115" s="97"/>
      <c r="C115" s="98">
        <v>43116</v>
      </c>
      <c r="D115" s="99" t="s">
        <v>226</v>
      </c>
      <c r="E115" s="100" t="s">
        <v>228</v>
      </c>
      <c r="F115" s="101"/>
      <c r="G115" s="102">
        <v>0.25</v>
      </c>
      <c r="H115" s="103"/>
      <c r="I115" s="103">
        <v>1200000</v>
      </c>
      <c r="J115" s="103"/>
      <c r="K115" s="103">
        <f t="shared" si="71"/>
        <v>1200000</v>
      </c>
      <c r="L115" s="103"/>
      <c r="M115" s="103"/>
      <c r="N115" s="103">
        <f t="shared" si="72"/>
        <v>1200000</v>
      </c>
      <c r="O115" s="104">
        <f t="shared" si="73"/>
        <v>4</v>
      </c>
      <c r="P115" s="101">
        <f t="shared" si="113"/>
        <v>48</v>
      </c>
      <c r="Q115" s="101">
        <f t="shared" si="74"/>
        <v>1</v>
      </c>
      <c r="R115" s="105">
        <f t="shared" si="75"/>
        <v>2018</v>
      </c>
      <c r="S115" s="106">
        <f t="shared" si="76"/>
        <v>12</v>
      </c>
      <c r="T115" s="107">
        <f t="shared" si="77"/>
        <v>2021</v>
      </c>
      <c r="U115" s="110">
        <f t="shared" si="114"/>
        <v>25000</v>
      </c>
      <c r="V115" s="73">
        <v>0</v>
      </c>
      <c r="W115" s="73">
        <v>48</v>
      </c>
      <c r="X115" s="96">
        <f t="shared" si="115"/>
        <v>0</v>
      </c>
      <c r="Y115" s="96">
        <v>1200000</v>
      </c>
      <c r="Z115" s="96">
        <f t="shared" si="116"/>
        <v>0</v>
      </c>
      <c r="AA115" s="73">
        <f t="shared" si="117"/>
        <v>0</v>
      </c>
      <c r="AB115" s="73">
        <f t="shared" si="97"/>
        <v>48</v>
      </c>
      <c r="AC115" s="96">
        <f t="shared" si="118"/>
        <v>0</v>
      </c>
      <c r="AD115" s="96">
        <f t="shared" si="98"/>
        <v>1200000</v>
      </c>
      <c r="AE115" s="96">
        <f t="shared" si="119"/>
        <v>0</v>
      </c>
      <c r="AF115" s="73">
        <f t="shared" si="112"/>
        <v>0</v>
      </c>
      <c r="AG115" s="73">
        <f t="shared" si="99"/>
        <v>48</v>
      </c>
      <c r="AH115" s="96">
        <f t="shared" si="100"/>
        <v>0</v>
      </c>
      <c r="AI115" s="96">
        <f t="shared" si="120"/>
        <v>1200000</v>
      </c>
      <c r="AJ115" s="96">
        <f t="shared" si="121"/>
        <v>0</v>
      </c>
      <c r="AK115" s="73">
        <f t="shared" si="101"/>
        <v>0</v>
      </c>
      <c r="AL115" s="73">
        <f t="shared" si="102"/>
        <v>48</v>
      </c>
      <c r="AM115" s="96">
        <f t="shared" si="103"/>
        <v>0</v>
      </c>
      <c r="AN115" s="96">
        <f t="shared" si="104"/>
        <v>1200000</v>
      </c>
      <c r="AO115" s="96">
        <f t="shared" si="105"/>
        <v>0</v>
      </c>
      <c r="AP115" s="73">
        <f t="shared" si="106"/>
        <v>0</v>
      </c>
      <c r="AQ115" s="73">
        <f t="shared" si="107"/>
        <v>48</v>
      </c>
      <c r="AR115" s="96">
        <f t="shared" si="134"/>
        <v>0</v>
      </c>
      <c r="AS115" s="96">
        <f t="shared" si="109"/>
        <v>1200000</v>
      </c>
      <c r="AT115" s="96">
        <f t="shared" si="110"/>
        <v>0</v>
      </c>
      <c r="AU115" s="111"/>
      <c r="AV115" s="202">
        <f t="shared" si="111"/>
        <v>0</v>
      </c>
      <c r="AW115" s="203">
        <f t="shared" si="122"/>
        <v>0</v>
      </c>
      <c r="AX115" s="203">
        <f t="shared" si="123"/>
        <v>0</v>
      </c>
      <c r="AY115" s="203">
        <f t="shared" si="124"/>
        <v>0</v>
      </c>
      <c r="AZ115" s="203">
        <f t="shared" si="125"/>
        <v>0</v>
      </c>
      <c r="BA115" s="203">
        <f t="shared" si="126"/>
        <v>0</v>
      </c>
      <c r="BB115" s="203">
        <f t="shared" si="127"/>
        <v>0</v>
      </c>
      <c r="BC115" s="203">
        <f t="shared" si="128"/>
        <v>0</v>
      </c>
      <c r="BD115" s="203">
        <f t="shared" si="129"/>
        <v>0</v>
      </c>
      <c r="BE115" s="203">
        <f t="shared" si="130"/>
        <v>0</v>
      </c>
      <c r="BF115" s="203">
        <f t="shared" si="131"/>
        <v>0</v>
      </c>
      <c r="BG115" s="203">
        <f t="shared" si="132"/>
        <v>0</v>
      </c>
      <c r="BH115" s="203">
        <f t="shared" si="133"/>
        <v>0</v>
      </c>
    </row>
    <row r="116" spans="2:60" s="11" customFormat="1" x14ac:dyDescent="0.2">
      <c r="B116" s="97"/>
      <c r="C116" s="98">
        <v>43154</v>
      </c>
      <c r="D116" s="99" t="s">
        <v>229</v>
      </c>
      <c r="E116" s="100" t="s">
        <v>230</v>
      </c>
      <c r="F116" s="101"/>
      <c r="G116" s="102">
        <v>0.25</v>
      </c>
      <c r="H116" s="103"/>
      <c r="I116" s="103">
        <v>4575000</v>
      </c>
      <c r="J116" s="103"/>
      <c r="K116" s="103">
        <f t="shared" si="71"/>
        <v>4575000</v>
      </c>
      <c r="L116" s="103"/>
      <c r="M116" s="103"/>
      <c r="N116" s="103">
        <f t="shared" si="72"/>
        <v>4575000</v>
      </c>
      <c r="O116" s="104">
        <f t="shared" si="73"/>
        <v>4</v>
      </c>
      <c r="P116" s="101">
        <f t="shared" si="113"/>
        <v>48</v>
      </c>
      <c r="Q116" s="101">
        <f t="shared" si="74"/>
        <v>2</v>
      </c>
      <c r="R116" s="105">
        <f t="shared" si="75"/>
        <v>2018</v>
      </c>
      <c r="S116" s="106">
        <f t="shared" si="76"/>
        <v>1</v>
      </c>
      <c r="T116" s="107">
        <f t="shared" si="77"/>
        <v>2022</v>
      </c>
      <c r="U116" s="110">
        <f t="shared" si="114"/>
        <v>95312.5</v>
      </c>
      <c r="V116" s="73">
        <v>0</v>
      </c>
      <c r="W116" s="73">
        <v>48</v>
      </c>
      <c r="X116" s="96">
        <f t="shared" si="115"/>
        <v>0</v>
      </c>
      <c r="Y116" s="96">
        <v>4575000</v>
      </c>
      <c r="Z116" s="96">
        <f t="shared" si="116"/>
        <v>0</v>
      </c>
      <c r="AA116" s="73">
        <f t="shared" si="117"/>
        <v>0</v>
      </c>
      <c r="AB116" s="73">
        <f t="shared" si="97"/>
        <v>48</v>
      </c>
      <c r="AC116" s="96">
        <f t="shared" si="118"/>
        <v>0</v>
      </c>
      <c r="AD116" s="96">
        <f t="shared" si="98"/>
        <v>4575000</v>
      </c>
      <c r="AE116" s="96">
        <f t="shared" si="119"/>
        <v>0</v>
      </c>
      <c r="AF116" s="73">
        <f t="shared" si="112"/>
        <v>0</v>
      </c>
      <c r="AG116" s="73">
        <f t="shared" si="99"/>
        <v>48</v>
      </c>
      <c r="AH116" s="96">
        <f t="shared" si="100"/>
        <v>0</v>
      </c>
      <c r="AI116" s="96">
        <f t="shared" si="120"/>
        <v>4575000</v>
      </c>
      <c r="AJ116" s="96">
        <f t="shared" si="121"/>
        <v>0</v>
      </c>
      <c r="AK116" s="73">
        <f t="shared" si="101"/>
        <v>0</v>
      </c>
      <c r="AL116" s="73">
        <f t="shared" si="102"/>
        <v>48</v>
      </c>
      <c r="AM116" s="96">
        <f t="shared" si="103"/>
        <v>0</v>
      </c>
      <c r="AN116" s="96">
        <f t="shared" si="104"/>
        <v>4575000</v>
      </c>
      <c r="AO116" s="96">
        <f t="shared" si="105"/>
        <v>0</v>
      </c>
      <c r="AP116" s="73">
        <f t="shared" si="106"/>
        <v>0</v>
      </c>
      <c r="AQ116" s="73">
        <f t="shared" si="107"/>
        <v>48</v>
      </c>
      <c r="AR116" s="96">
        <f t="shared" si="134"/>
        <v>0</v>
      </c>
      <c r="AS116" s="96">
        <f t="shared" si="109"/>
        <v>4575000</v>
      </c>
      <c r="AT116" s="96">
        <f t="shared" si="110"/>
        <v>0</v>
      </c>
      <c r="AU116" s="111"/>
      <c r="AV116" s="202">
        <f t="shared" si="111"/>
        <v>0</v>
      </c>
      <c r="AW116" s="203">
        <f t="shared" si="122"/>
        <v>0</v>
      </c>
      <c r="AX116" s="203">
        <f t="shared" si="123"/>
        <v>0</v>
      </c>
      <c r="AY116" s="203">
        <f t="shared" si="124"/>
        <v>0</v>
      </c>
      <c r="AZ116" s="203">
        <f t="shared" si="125"/>
        <v>0</v>
      </c>
      <c r="BA116" s="203">
        <f t="shared" si="126"/>
        <v>0</v>
      </c>
      <c r="BB116" s="203">
        <f t="shared" si="127"/>
        <v>0</v>
      </c>
      <c r="BC116" s="203">
        <f t="shared" si="128"/>
        <v>0</v>
      </c>
      <c r="BD116" s="203">
        <f t="shared" si="129"/>
        <v>0</v>
      </c>
      <c r="BE116" s="203">
        <f t="shared" si="130"/>
        <v>0</v>
      </c>
      <c r="BF116" s="203">
        <f t="shared" si="131"/>
        <v>0</v>
      </c>
      <c r="BG116" s="203">
        <f t="shared" si="132"/>
        <v>0</v>
      </c>
      <c r="BH116" s="203">
        <f t="shared" si="133"/>
        <v>0</v>
      </c>
    </row>
    <row r="117" spans="2:60" s="11" customFormat="1" x14ac:dyDescent="0.2">
      <c r="B117" s="97"/>
      <c r="C117" s="98">
        <v>43159</v>
      </c>
      <c r="D117" s="99" t="s">
        <v>231</v>
      </c>
      <c r="E117" s="100" t="s">
        <v>228</v>
      </c>
      <c r="F117" s="101"/>
      <c r="G117" s="102">
        <v>0.25</v>
      </c>
      <c r="H117" s="103"/>
      <c r="I117" s="103">
        <v>7900000</v>
      </c>
      <c r="J117" s="103"/>
      <c r="K117" s="103">
        <f t="shared" si="71"/>
        <v>7900000</v>
      </c>
      <c r="L117" s="103"/>
      <c r="M117" s="103"/>
      <c r="N117" s="103">
        <f t="shared" si="72"/>
        <v>7900000</v>
      </c>
      <c r="O117" s="104">
        <f t="shared" si="73"/>
        <v>4</v>
      </c>
      <c r="P117" s="101">
        <f t="shared" si="113"/>
        <v>48</v>
      </c>
      <c r="Q117" s="101">
        <f t="shared" si="74"/>
        <v>2</v>
      </c>
      <c r="R117" s="105">
        <f t="shared" si="75"/>
        <v>2018</v>
      </c>
      <c r="S117" s="106">
        <f t="shared" si="76"/>
        <v>1</v>
      </c>
      <c r="T117" s="107">
        <f t="shared" si="77"/>
        <v>2022</v>
      </c>
      <c r="U117" s="110">
        <f t="shared" si="114"/>
        <v>164583.33333333334</v>
      </c>
      <c r="V117" s="73">
        <v>0</v>
      </c>
      <c r="W117" s="73">
        <v>48</v>
      </c>
      <c r="X117" s="96">
        <f t="shared" si="115"/>
        <v>0</v>
      </c>
      <c r="Y117" s="96">
        <v>7900000</v>
      </c>
      <c r="Z117" s="96">
        <f t="shared" si="116"/>
        <v>0</v>
      </c>
      <c r="AA117" s="73">
        <f t="shared" si="117"/>
        <v>0</v>
      </c>
      <c r="AB117" s="73">
        <f t="shared" si="97"/>
        <v>48</v>
      </c>
      <c r="AC117" s="96">
        <f t="shared" si="118"/>
        <v>0</v>
      </c>
      <c r="AD117" s="96">
        <f t="shared" si="98"/>
        <v>7900000</v>
      </c>
      <c r="AE117" s="96">
        <f t="shared" si="119"/>
        <v>0</v>
      </c>
      <c r="AF117" s="73">
        <f t="shared" si="112"/>
        <v>0</v>
      </c>
      <c r="AG117" s="73">
        <f t="shared" si="99"/>
        <v>48</v>
      </c>
      <c r="AH117" s="96">
        <f t="shared" si="100"/>
        <v>0</v>
      </c>
      <c r="AI117" s="96">
        <f t="shared" si="120"/>
        <v>7900000</v>
      </c>
      <c r="AJ117" s="96">
        <f t="shared" si="121"/>
        <v>0</v>
      </c>
      <c r="AK117" s="73">
        <f t="shared" si="101"/>
        <v>0</v>
      </c>
      <c r="AL117" s="73">
        <f t="shared" si="102"/>
        <v>48</v>
      </c>
      <c r="AM117" s="96">
        <f t="shared" si="103"/>
        <v>0</v>
      </c>
      <c r="AN117" s="96">
        <f t="shared" si="104"/>
        <v>7900000</v>
      </c>
      <c r="AO117" s="96">
        <f t="shared" si="105"/>
        <v>0</v>
      </c>
      <c r="AP117" s="73">
        <f t="shared" si="106"/>
        <v>0</v>
      </c>
      <c r="AQ117" s="73">
        <f t="shared" si="107"/>
        <v>48</v>
      </c>
      <c r="AR117" s="96">
        <f t="shared" si="134"/>
        <v>0</v>
      </c>
      <c r="AS117" s="96">
        <f t="shared" si="109"/>
        <v>7900000</v>
      </c>
      <c r="AT117" s="96">
        <f t="shared" si="110"/>
        <v>0</v>
      </c>
      <c r="AU117" s="111"/>
      <c r="AV117" s="202">
        <f t="shared" si="111"/>
        <v>0</v>
      </c>
      <c r="AW117" s="203">
        <f t="shared" si="122"/>
        <v>0</v>
      </c>
      <c r="AX117" s="203">
        <f t="shared" si="123"/>
        <v>0</v>
      </c>
      <c r="AY117" s="203">
        <f t="shared" si="124"/>
        <v>0</v>
      </c>
      <c r="AZ117" s="203">
        <f t="shared" si="125"/>
        <v>0</v>
      </c>
      <c r="BA117" s="203">
        <f t="shared" si="126"/>
        <v>0</v>
      </c>
      <c r="BB117" s="203">
        <f t="shared" si="127"/>
        <v>0</v>
      </c>
      <c r="BC117" s="203">
        <f t="shared" si="128"/>
        <v>0</v>
      </c>
      <c r="BD117" s="203">
        <f t="shared" si="129"/>
        <v>0</v>
      </c>
      <c r="BE117" s="203">
        <f t="shared" si="130"/>
        <v>0</v>
      </c>
      <c r="BF117" s="203">
        <f t="shared" si="131"/>
        <v>0</v>
      </c>
      <c r="BG117" s="203">
        <f t="shared" si="132"/>
        <v>0</v>
      </c>
      <c r="BH117" s="203">
        <f t="shared" si="133"/>
        <v>0</v>
      </c>
    </row>
    <row r="118" spans="2:60" s="11" customFormat="1" x14ac:dyDescent="0.2">
      <c r="B118" s="97"/>
      <c r="C118" s="98">
        <v>43179</v>
      </c>
      <c r="D118" s="99" t="s">
        <v>232</v>
      </c>
      <c r="E118" s="100" t="s">
        <v>233</v>
      </c>
      <c r="F118" s="101"/>
      <c r="G118" s="102">
        <v>0.25</v>
      </c>
      <c r="H118" s="103"/>
      <c r="I118" s="103">
        <v>7560000</v>
      </c>
      <c r="J118" s="103"/>
      <c r="K118" s="103">
        <f t="shared" si="71"/>
        <v>7560000</v>
      </c>
      <c r="L118" s="103"/>
      <c r="M118" s="103"/>
      <c r="N118" s="103">
        <f t="shared" si="72"/>
        <v>7560000</v>
      </c>
      <c r="O118" s="104">
        <f t="shared" si="73"/>
        <v>4</v>
      </c>
      <c r="P118" s="101">
        <f t="shared" si="113"/>
        <v>48</v>
      </c>
      <c r="Q118" s="101">
        <f t="shared" si="74"/>
        <v>3</v>
      </c>
      <c r="R118" s="105">
        <f t="shared" si="75"/>
        <v>2018</v>
      </c>
      <c r="S118" s="106">
        <f t="shared" si="76"/>
        <v>2</v>
      </c>
      <c r="T118" s="107">
        <f t="shared" si="77"/>
        <v>2022</v>
      </c>
      <c r="U118" s="110">
        <f t="shared" si="114"/>
        <v>157500</v>
      </c>
      <c r="V118" s="73">
        <v>0</v>
      </c>
      <c r="W118" s="73">
        <v>48</v>
      </c>
      <c r="X118" s="96">
        <f t="shared" si="115"/>
        <v>0</v>
      </c>
      <c r="Y118" s="96">
        <v>7560000</v>
      </c>
      <c r="Z118" s="96">
        <f t="shared" si="116"/>
        <v>0</v>
      </c>
      <c r="AA118" s="73">
        <f t="shared" si="117"/>
        <v>0</v>
      </c>
      <c r="AB118" s="73">
        <f t="shared" si="97"/>
        <v>48</v>
      </c>
      <c r="AC118" s="96">
        <f t="shared" si="118"/>
        <v>0</v>
      </c>
      <c r="AD118" s="96">
        <f t="shared" si="98"/>
        <v>7560000</v>
      </c>
      <c r="AE118" s="96">
        <f t="shared" si="119"/>
        <v>0</v>
      </c>
      <c r="AF118" s="73">
        <f t="shared" si="112"/>
        <v>0</v>
      </c>
      <c r="AG118" s="73">
        <f t="shared" si="99"/>
        <v>48</v>
      </c>
      <c r="AH118" s="96">
        <f t="shared" si="100"/>
        <v>0</v>
      </c>
      <c r="AI118" s="96">
        <f t="shared" si="120"/>
        <v>7560000</v>
      </c>
      <c r="AJ118" s="96">
        <f t="shared" si="121"/>
        <v>0</v>
      </c>
      <c r="AK118" s="73">
        <f t="shared" si="101"/>
        <v>0</v>
      </c>
      <c r="AL118" s="73">
        <f t="shared" si="102"/>
        <v>48</v>
      </c>
      <c r="AM118" s="96">
        <f t="shared" si="103"/>
        <v>0</v>
      </c>
      <c r="AN118" s="96">
        <f t="shared" si="104"/>
        <v>7560000</v>
      </c>
      <c r="AO118" s="96">
        <f t="shared" si="105"/>
        <v>0</v>
      </c>
      <c r="AP118" s="73">
        <f t="shared" si="106"/>
        <v>0</v>
      </c>
      <c r="AQ118" s="73">
        <f t="shared" si="107"/>
        <v>48</v>
      </c>
      <c r="AR118" s="96">
        <f t="shared" si="134"/>
        <v>0</v>
      </c>
      <c r="AS118" s="96">
        <f t="shared" si="109"/>
        <v>7560000</v>
      </c>
      <c r="AT118" s="96">
        <f t="shared" si="110"/>
        <v>0</v>
      </c>
      <c r="AU118" s="111"/>
      <c r="AV118" s="202">
        <f t="shared" si="111"/>
        <v>0</v>
      </c>
      <c r="AW118" s="203">
        <f t="shared" si="122"/>
        <v>0</v>
      </c>
      <c r="AX118" s="203">
        <f t="shared" si="123"/>
        <v>0</v>
      </c>
      <c r="AY118" s="203">
        <f t="shared" si="124"/>
        <v>0</v>
      </c>
      <c r="AZ118" s="203">
        <f t="shared" si="125"/>
        <v>0</v>
      </c>
      <c r="BA118" s="203">
        <f t="shared" si="126"/>
        <v>0</v>
      </c>
      <c r="BB118" s="203">
        <f t="shared" si="127"/>
        <v>0</v>
      </c>
      <c r="BC118" s="203">
        <f t="shared" si="128"/>
        <v>0</v>
      </c>
      <c r="BD118" s="203">
        <f t="shared" si="129"/>
        <v>0</v>
      </c>
      <c r="BE118" s="203">
        <f t="shared" si="130"/>
        <v>0</v>
      </c>
      <c r="BF118" s="203">
        <f t="shared" si="131"/>
        <v>0</v>
      </c>
      <c r="BG118" s="203">
        <f t="shared" si="132"/>
        <v>0</v>
      </c>
      <c r="BH118" s="203">
        <f t="shared" si="133"/>
        <v>0</v>
      </c>
    </row>
    <row r="119" spans="2:60" s="11" customFormat="1" x14ac:dyDescent="0.2">
      <c r="B119" s="97"/>
      <c r="C119" s="98">
        <v>43182</v>
      </c>
      <c r="D119" s="99" t="s">
        <v>234</v>
      </c>
      <c r="E119" s="100" t="s">
        <v>235</v>
      </c>
      <c r="F119" s="101"/>
      <c r="G119" s="102">
        <v>0.25</v>
      </c>
      <c r="H119" s="103"/>
      <c r="I119" s="103">
        <v>1175000</v>
      </c>
      <c r="J119" s="103"/>
      <c r="K119" s="103">
        <f t="shared" si="71"/>
        <v>1175000</v>
      </c>
      <c r="L119" s="103"/>
      <c r="M119" s="103"/>
      <c r="N119" s="103">
        <f t="shared" si="72"/>
        <v>1175000</v>
      </c>
      <c r="O119" s="104">
        <f t="shared" si="73"/>
        <v>4</v>
      </c>
      <c r="P119" s="101">
        <f t="shared" si="113"/>
        <v>48</v>
      </c>
      <c r="Q119" s="101">
        <f t="shared" si="74"/>
        <v>3</v>
      </c>
      <c r="R119" s="105">
        <f t="shared" si="75"/>
        <v>2018</v>
      </c>
      <c r="S119" s="106">
        <f t="shared" si="76"/>
        <v>2</v>
      </c>
      <c r="T119" s="107">
        <f t="shared" si="77"/>
        <v>2022</v>
      </c>
      <c r="U119" s="110">
        <f t="shared" si="114"/>
        <v>24479.166666666668</v>
      </c>
      <c r="V119" s="73">
        <v>0</v>
      </c>
      <c r="W119" s="73">
        <v>48</v>
      </c>
      <c r="X119" s="96">
        <f t="shared" si="115"/>
        <v>0</v>
      </c>
      <c r="Y119" s="96">
        <v>1175000</v>
      </c>
      <c r="Z119" s="96">
        <f t="shared" si="116"/>
        <v>0</v>
      </c>
      <c r="AA119" s="73">
        <f t="shared" si="117"/>
        <v>0</v>
      </c>
      <c r="AB119" s="73">
        <f t="shared" si="97"/>
        <v>48</v>
      </c>
      <c r="AC119" s="96">
        <f t="shared" si="118"/>
        <v>0</v>
      </c>
      <c r="AD119" s="96">
        <f t="shared" si="98"/>
        <v>1175000</v>
      </c>
      <c r="AE119" s="96">
        <f t="shared" si="119"/>
        <v>0</v>
      </c>
      <c r="AF119" s="73">
        <f t="shared" si="112"/>
        <v>0</v>
      </c>
      <c r="AG119" s="73">
        <f t="shared" si="99"/>
        <v>48</v>
      </c>
      <c r="AH119" s="96">
        <f t="shared" si="100"/>
        <v>0</v>
      </c>
      <c r="AI119" s="96">
        <f t="shared" si="120"/>
        <v>1175000</v>
      </c>
      <c r="AJ119" s="96">
        <f t="shared" si="121"/>
        <v>0</v>
      </c>
      <c r="AK119" s="73">
        <f t="shared" si="101"/>
        <v>0</v>
      </c>
      <c r="AL119" s="73">
        <f t="shared" si="102"/>
        <v>48</v>
      </c>
      <c r="AM119" s="96">
        <f t="shared" si="103"/>
        <v>0</v>
      </c>
      <c r="AN119" s="96">
        <f t="shared" si="104"/>
        <v>1175000</v>
      </c>
      <c r="AO119" s="96">
        <f t="shared" si="105"/>
        <v>0</v>
      </c>
      <c r="AP119" s="73">
        <f t="shared" si="106"/>
        <v>0</v>
      </c>
      <c r="AQ119" s="73">
        <f t="shared" si="107"/>
        <v>48</v>
      </c>
      <c r="AR119" s="96">
        <f t="shared" si="134"/>
        <v>0</v>
      </c>
      <c r="AS119" s="96">
        <f t="shared" si="109"/>
        <v>1175000</v>
      </c>
      <c r="AT119" s="96">
        <f t="shared" si="110"/>
        <v>0</v>
      </c>
      <c r="AU119" s="111"/>
      <c r="AV119" s="202">
        <f t="shared" si="111"/>
        <v>0</v>
      </c>
      <c r="AW119" s="203">
        <f t="shared" si="122"/>
        <v>0</v>
      </c>
      <c r="AX119" s="203">
        <f t="shared" si="123"/>
        <v>0</v>
      </c>
      <c r="AY119" s="203">
        <f t="shared" si="124"/>
        <v>0</v>
      </c>
      <c r="AZ119" s="203">
        <f t="shared" si="125"/>
        <v>0</v>
      </c>
      <c r="BA119" s="203">
        <f t="shared" si="126"/>
        <v>0</v>
      </c>
      <c r="BB119" s="203">
        <f t="shared" si="127"/>
        <v>0</v>
      </c>
      <c r="BC119" s="203">
        <f t="shared" si="128"/>
        <v>0</v>
      </c>
      <c r="BD119" s="203">
        <f t="shared" si="129"/>
        <v>0</v>
      </c>
      <c r="BE119" s="203">
        <f t="shared" si="130"/>
        <v>0</v>
      </c>
      <c r="BF119" s="203">
        <f t="shared" si="131"/>
        <v>0</v>
      </c>
      <c r="BG119" s="203">
        <f t="shared" si="132"/>
        <v>0</v>
      </c>
      <c r="BH119" s="203">
        <f t="shared" si="133"/>
        <v>0</v>
      </c>
    </row>
    <row r="120" spans="2:60" s="11" customFormat="1" x14ac:dyDescent="0.2">
      <c r="B120" s="97"/>
      <c r="C120" s="98">
        <v>43251</v>
      </c>
      <c r="D120" s="99" t="s">
        <v>236</v>
      </c>
      <c r="E120" s="100" t="s">
        <v>237</v>
      </c>
      <c r="F120" s="101"/>
      <c r="G120" s="102">
        <v>0.25</v>
      </c>
      <c r="H120" s="103"/>
      <c r="I120" s="103">
        <v>3299000</v>
      </c>
      <c r="J120" s="103"/>
      <c r="K120" s="103">
        <f t="shared" si="71"/>
        <v>3299000</v>
      </c>
      <c r="L120" s="103"/>
      <c r="M120" s="103"/>
      <c r="N120" s="103">
        <f t="shared" si="72"/>
        <v>3299000</v>
      </c>
      <c r="O120" s="104">
        <f t="shared" si="73"/>
        <v>4</v>
      </c>
      <c r="P120" s="101">
        <f t="shared" si="113"/>
        <v>48</v>
      </c>
      <c r="Q120" s="101">
        <f t="shared" si="74"/>
        <v>5</v>
      </c>
      <c r="R120" s="105">
        <f t="shared" si="75"/>
        <v>2018</v>
      </c>
      <c r="S120" s="106">
        <f t="shared" si="76"/>
        <v>4</v>
      </c>
      <c r="T120" s="107">
        <f t="shared" si="77"/>
        <v>2022</v>
      </c>
      <c r="U120" s="110">
        <f t="shared" si="114"/>
        <v>68729.166666666672</v>
      </c>
      <c r="V120" s="73">
        <v>0</v>
      </c>
      <c r="W120" s="73">
        <v>48</v>
      </c>
      <c r="X120" s="96">
        <f t="shared" si="115"/>
        <v>0</v>
      </c>
      <c r="Y120" s="96">
        <v>3299000</v>
      </c>
      <c r="Z120" s="96">
        <f t="shared" si="116"/>
        <v>0</v>
      </c>
      <c r="AA120" s="73">
        <f t="shared" si="117"/>
        <v>0</v>
      </c>
      <c r="AB120" s="73">
        <f t="shared" si="97"/>
        <v>48</v>
      </c>
      <c r="AC120" s="96">
        <f t="shared" si="118"/>
        <v>0</v>
      </c>
      <c r="AD120" s="96">
        <f t="shared" si="98"/>
        <v>3299000</v>
      </c>
      <c r="AE120" s="96">
        <f t="shared" si="119"/>
        <v>0</v>
      </c>
      <c r="AF120" s="73">
        <f t="shared" si="112"/>
        <v>0</v>
      </c>
      <c r="AG120" s="73">
        <f t="shared" si="99"/>
        <v>48</v>
      </c>
      <c r="AH120" s="96">
        <f t="shared" si="100"/>
        <v>0</v>
      </c>
      <c r="AI120" s="96">
        <f t="shared" si="120"/>
        <v>3299000</v>
      </c>
      <c r="AJ120" s="96">
        <f t="shared" si="121"/>
        <v>0</v>
      </c>
      <c r="AK120" s="73">
        <f t="shared" si="101"/>
        <v>0</v>
      </c>
      <c r="AL120" s="73">
        <f t="shared" si="102"/>
        <v>48</v>
      </c>
      <c r="AM120" s="96">
        <f t="shared" si="103"/>
        <v>0</v>
      </c>
      <c r="AN120" s="96">
        <f t="shared" si="104"/>
        <v>3299000</v>
      </c>
      <c r="AO120" s="96">
        <f t="shared" si="105"/>
        <v>0</v>
      </c>
      <c r="AP120" s="73">
        <f t="shared" si="106"/>
        <v>0</v>
      </c>
      <c r="AQ120" s="73">
        <f t="shared" si="107"/>
        <v>48</v>
      </c>
      <c r="AR120" s="96">
        <f t="shared" si="134"/>
        <v>0</v>
      </c>
      <c r="AS120" s="96">
        <f t="shared" si="109"/>
        <v>3299000</v>
      </c>
      <c r="AT120" s="96">
        <f t="shared" si="110"/>
        <v>0</v>
      </c>
      <c r="AU120" s="111"/>
      <c r="AV120" s="202">
        <f t="shared" si="111"/>
        <v>0</v>
      </c>
      <c r="AW120" s="203">
        <f t="shared" si="122"/>
        <v>0</v>
      </c>
      <c r="AX120" s="203">
        <f t="shared" si="123"/>
        <v>0</v>
      </c>
      <c r="AY120" s="203">
        <f t="shared" si="124"/>
        <v>0</v>
      </c>
      <c r="AZ120" s="203">
        <f t="shared" si="125"/>
        <v>0</v>
      </c>
      <c r="BA120" s="203">
        <f t="shared" si="126"/>
        <v>0</v>
      </c>
      <c r="BB120" s="203">
        <f t="shared" si="127"/>
        <v>0</v>
      </c>
      <c r="BC120" s="203">
        <f t="shared" si="128"/>
        <v>0</v>
      </c>
      <c r="BD120" s="203">
        <f t="shared" si="129"/>
        <v>0</v>
      </c>
      <c r="BE120" s="203">
        <f t="shared" si="130"/>
        <v>0</v>
      </c>
      <c r="BF120" s="203">
        <f t="shared" si="131"/>
        <v>0</v>
      </c>
      <c r="BG120" s="203">
        <f t="shared" si="132"/>
        <v>0</v>
      </c>
      <c r="BH120" s="203">
        <f t="shared" si="133"/>
        <v>0</v>
      </c>
    </row>
    <row r="121" spans="2:60" s="11" customFormat="1" x14ac:dyDescent="0.2">
      <c r="B121" s="97"/>
      <c r="C121" s="98">
        <v>43259</v>
      </c>
      <c r="D121" s="99" t="s">
        <v>238</v>
      </c>
      <c r="E121" s="100" t="s">
        <v>239</v>
      </c>
      <c r="F121" s="101"/>
      <c r="G121" s="102">
        <v>0.25</v>
      </c>
      <c r="H121" s="103"/>
      <c r="I121" s="103">
        <v>2060000</v>
      </c>
      <c r="J121" s="103"/>
      <c r="K121" s="103">
        <f t="shared" si="71"/>
        <v>2060000</v>
      </c>
      <c r="L121" s="103"/>
      <c r="M121" s="103"/>
      <c r="N121" s="103">
        <f t="shared" si="72"/>
        <v>2060000</v>
      </c>
      <c r="O121" s="104">
        <f t="shared" si="73"/>
        <v>4</v>
      </c>
      <c r="P121" s="101">
        <f t="shared" si="65"/>
        <v>48</v>
      </c>
      <c r="Q121" s="101">
        <f t="shared" si="74"/>
        <v>6</v>
      </c>
      <c r="R121" s="105">
        <f t="shared" si="75"/>
        <v>2018</v>
      </c>
      <c r="S121" s="106">
        <f t="shared" si="76"/>
        <v>5</v>
      </c>
      <c r="T121" s="107">
        <f t="shared" si="77"/>
        <v>2022</v>
      </c>
      <c r="U121" s="110">
        <f t="shared" si="66"/>
        <v>42916.666666666664</v>
      </c>
      <c r="V121" s="73">
        <v>0</v>
      </c>
      <c r="W121" s="73">
        <v>48</v>
      </c>
      <c r="X121" s="96">
        <f t="shared" si="115"/>
        <v>0</v>
      </c>
      <c r="Y121" s="96">
        <v>2060000</v>
      </c>
      <c r="Z121" s="96">
        <f t="shared" si="116"/>
        <v>0</v>
      </c>
      <c r="AA121" s="73">
        <f t="shared" si="117"/>
        <v>0</v>
      </c>
      <c r="AB121" s="73">
        <f t="shared" si="97"/>
        <v>48</v>
      </c>
      <c r="AC121" s="96">
        <f t="shared" si="118"/>
        <v>0</v>
      </c>
      <c r="AD121" s="96">
        <f t="shared" si="98"/>
        <v>2060000</v>
      </c>
      <c r="AE121" s="96">
        <f t="shared" si="119"/>
        <v>0</v>
      </c>
      <c r="AF121" s="73">
        <f t="shared" si="112"/>
        <v>0</v>
      </c>
      <c r="AG121" s="73">
        <f t="shared" si="99"/>
        <v>48</v>
      </c>
      <c r="AH121" s="96">
        <f t="shared" si="100"/>
        <v>0</v>
      </c>
      <c r="AI121" s="96">
        <f t="shared" si="120"/>
        <v>2060000</v>
      </c>
      <c r="AJ121" s="96">
        <f t="shared" si="121"/>
        <v>0</v>
      </c>
      <c r="AK121" s="73">
        <f t="shared" si="101"/>
        <v>0</v>
      </c>
      <c r="AL121" s="73">
        <f t="shared" si="102"/>
        <v>48</v>
      </c>
      <c r="AM121" s="96">
        <f t="shared" si="103"/>
        <v>0</v>
      </c>
      <c r="AN121" s="96">
        <f t="shared" si="104"/>
        <v>2060000</v>
      </c>
      <c r="AO121" s="96">
        <f t="shared" si="105"/>
        <v>0</v>
      </c>
      <c r="AP121" s="73">
        <f t="shared" si="106"/>
        <v>0</v>
      </c>
      <c r="AQ121" s="73">
        <f t="shared" si="107"/>
        <v>48</v>
      </c>
      <c r="AR121" s="96">
        <f t="shared" si="134"/>
        <v>0</v>
      </c>
      <c r="AS121" s="96">
        <f t="shared" si="109"/>
        <v>2060000</v>
      </c>
      <c r="AT121" s="96">
        <f t="shared" si="110"/>
        <v>0</v>
      </c>
      <c r="AU121" s="111"/>
      <c r="AV121" s="202">
        <f t="shared" si="111"/>
        <v>0</v>
      </c>
      <c r="AW121" s="203">
        <f t="shared" si="122"/>
        <v>0</v>
      </c>
      <c r="AX121" s="203">
        <f t="shared" si="123"/>
        <v>0</v>
      </c>
      <c r="AY121" s="203">
        <f t="shared" si="124"/>
        <v>0</v>
      </c>
      <c r="AZ121" s="203">
        <f t="shared" si="125"/>
        <v>0</v>
      </c>
      <c r="BA121" s="203">
        <f t="shared" si="126"/>
        <v>0</v>
      </c>
      <c r="BB121" s="203">
        <f t="shared" si="127"/>
        <v>0</v>
      </c>
      <c r="BC121" s="203">
        <f t="shared" si="128"/>
        <v>0</v>
      </c>
      <c r="BD121" s="203">
        <f t="shared" si="129"/>
        <v>0</v>
      </c>
      <c r="BE121" s="203">
        <f t="shared" si="130"/>
        <v>0</v>
      </c>
      <c r="BF121" s="203">
        <f t="shared" si="131"/>
        <v>0</v>
      </c>
      <c r="BG121" s="203">
        <f t="shared" si="132"/>
        <v>0</v>
      </c>
      <c r="BH121" s="203">
        <f t="shared" si="133"/>
        <v>0</v>
      </c>
    </row>
    <row r="122" spans="2:60" s="11" customFormat="1" x14ac:dyDescent="0.2">
      <c r="B122" s="97"/>
      <c r="C122" s="98">
        <v>43256</v>
      </c>
      <c r="D122" s="99" t="s">
        <v>240</v>
      </c>
      <c r="E122" s="100" t="s">
        <v>241</v>
      </c>
      <c r="F122" s="101"/>
      <c r="G122" s="102">
        <v>0.25</v>
      </c>
      <c r="H122" s="103"/>
      <c r="I122" s="103">
        <v>6100000</v>
      </c>
      <c r="J122" s="103"/>
      <c r="K122" s="103">
        <f t="shared" si="71"/>
        <v>6100000</v>
      </c>
      <c r="L122" s="103"/>
      <c r="M122" s="103"/>
      <c r="N122" s="103">
        <f t="shared" si="72"/>
        <v>6100000</v>
      </c>
      <c r="O122" s="104">
        <f t="shared" si="73"/>
        <v>4</v>
      </c>
      <c r="P122" s="101">
        <f t="shared" si="65"/>
        <v>48</v>
      </c>
      <c r="Q122" s="101">
        <f t="shared" si="74"/>
        <v>6</v>
      </c>
      <c r="R122" s="105">
        <f t="shared" si="75"/>
        <v>2018</v>
      </c>
      <c r="S122" s="106">
        <f t="shared" si="76"/>
        <v>5</v>
      </c>
      <c r="T122" s="107">
        <f t="shared" si="77"/>
        <v>2022</v>
      </c>
      <c r="U122" s="110">
        <f t="shared" si="66"/>
        <v>127083.33333333333</v>
      </c>
      <c r="V122" s="73">
        <v>0</v>
      </c>
      <c r="W122" s="73">
        <v>48</v>
      </c>
      <c r="X122" s="96">
        <f t="shared" si="115"/>
        <v>0</v>
      </c>
      <c r="Y122" s="96">
        <v>6100000</v>
      </c>
      <c r="Z122" s="96">
        <f t="shared" si="116"/>
        <v>0</v>
      </c>
      <c r="AA122" s="73">
        <f t="shared" si="117"/>
        <v>0</v>
      </c>
      <c r="AB122" s="73">
        <f t="shared" si="97"/>
        <v>48</v>
      </c>
      <c r="AC122" s="96">
        <f t="shared" si="118"/>
        <v>0</v>
      </c>
      <c r="AD122" s="96">
        <f t="shared" si="98"/>
        <v>6100000</v>
      </c>
      <c r="AE122" s="96">
        <f t="shared" si="119"/>
        <v>0</v>
      </c>
      <c r="AF122" s="73">
        <f t="shared" si="112"/>
        <v>0</v>
      </c>
      <c r="AG122" s="73">
        <f t="shared" si="99"/>
        <v>48</v>
      </c>
      <c r="AH122" s="96">
        <f t="shared" si="100"/>
        <v>0</v>
      </c>
      <c r="AI122" s="96">
        <f t="shared" si="120"/>
        <v>6100000</v>
      </c>
      <c r="AJ122" s="96">
        <f t="shared" si="121"/>
        <v>0</v>
      </c>
      <c r="AK122" s="73">
        <f t="shared" si="101"/>
        <v>0</v>
      </c>
      <c r="AL122" s="73">
        <f t="shared" si="102"/>
        <v>48</v>
      </c>
      <c r="AM122" s="96">
        <f t="shared" si="103"/>
        <v>0</v>
      </c>
      <c r="AN122" s="96">
        <f t="shared" si="104"/>
        <v>6100000</v>
      </c>
      <c r="AO122" s="96">
        <f t="shared" si="105"/>
        <v>0</v>
      </c>
      <c r="AP122" s="73">
        <f t="shared" si="106"/>
        <v>0</v>
      </c>
      <c r="AQ122" s="73">
        <f t="shared" si="107"/>
        <v>48</v>
      </c>
      <c r="AR122" s="96">
        <f t="shared" si="134"/>
        <v>0</v>
      </c>
      <c r="AS122" s="96">
        <f t="shared" si="109"/>
        <v>6100000</v>
      </c>
      <c r="AT122" s="96">
        <f t="shared" si="110"/>
        <v>0</v>
      </c>
      <c r="AU122" s="111"/>
      <c r="AV122" s="202">
        <f t="shared" si="111"/>
        <v>0</v>
      </c>
      <c r="AW122" s="203">
        <f t="shared" si="122"/>
        <v>0</v>
      </c>
      <c r="AX122" s="203">
        <f t="shared" si="123"/>
        <v>0</v>
      </c>
      <c r="AY122" s="203">
        <f t="shared" si="124"/>
        <v>0</v>
      </c>
      <c r="AZ122" s="203">
        <f t="shared" si="125"/>
        <v>0</v>
      </c>
      <c r="BA122" s="203">
        <f t="shared" si="126"/>
        <v>0</v>
      </c>
      <c r="BB122" s="203">
        <f t="shared" si="127"/>
        <v>0</v>
      </c>
      <c r="BC122" s="203">
        <f t="shared" si="128"/>
        <v>0</v>
      </c>
      <c r="BD122" s="203">
        <f t="shared" si="129"/>
        <v>0</v>
      </c>
      <c r="BE122" s="203">
        <f t="shared" si="130"/>
        <v>0</v>
      </c>
      <c r="BF122" s="203">
        <f t="shared" si="131"/>
        <v>0</v>
      </c>
      <c r="BG122" s="203">
        <f t="shared" si="132"/>
        <v>0</v>
      </c>
      <c r="BH122" s="203">
        <f t="shared" si="133"/>
        <v>0</v>
      </c>
    </row>
    <row r="123" spans="2:60" s="11" customFormat="1" x14ac:dyDescent="0.2">
      <c r="B123" s="97"/>
      <c r="C123" s="98">
        <v>43307</v>
      </c>
      <c r="D123" s="99" t="s">
        <v>242</v>
      </c>
      <c r="E123" s="100" t="s">
        <v>241</v>
      </c>
      <c r="F123" s="101"/>
      <c r="G123" s="102">
        <v>0.25</v>
      </c>
      <c r="H123" s="103"/>
      <c r="I123" s="103">
        <v>6100000</v>
      </c>
      <c r="J123" s="103"/>
      <c r="K123" s="103">
        <f t="shared" si="71"/>
        <v>6100000</v>
      </c>
      <c r="L123" s="103"/>
      <c r="M123" s="103"/>
      <c r="N123" s="103">
        <f t="shared" si="72"/>
        <v>6100000</v>
      </c>
      <c r="O123" s="104">
        <f t="shared" si="73"/>
        <v>4</v>
      </c>
      <c r="P123" s="101">
        <f t="shared" si="65"/>
        <v>48</v>
      </c>
      <c r="Q123" s="101">
        <f t="shared" si="74"/>
        <v>7</v>
      </c>
      <c r="R123" s="105">
        <f t="shared" si="75"/>
        <v>2018</v>
      </c>
      <c r="S123" s="106">
        <f t="shared" si="76"/>
        <v>6</v>
      </c>
      <c r="T123" s="107">
        <f t="shared" si="77"/>
        <v>2022</v>
      </c>
      <c r="U123" s="110">
        <f t="shared" si="66"/>
        <v>127083.33333333333</v>
      </c>
      <c r="V123" s="73">
        <v>0</v>
      </c>
      <c r="W123" s="73">
        <v>48</v>
      </c>
      <c r="X123" s="96">
        <f t="shared" si="115"/>
        <v>0</v>
      </c>
      <c r="Y123" s="96">
        <v>6100000</v>
      </c>
      <c r="Z123" s="96">
        <f t="shared" si="116"/>
        <v>0</v>
      </c>
      <c r="AA123" s="73">
        <f t="shared" si="117"/>
        <v>0</v>
      </c>
      <c r="AB123" s="73">
        <f t="shared" si="97"/>
        <v>48</v>
      </c>
      <c r="AC123" s="96">
        <f t="shared" si="118"/>
        <v>0</v>
      </c>
      <c r="AD123" s="96">
        <f t="shared" si="98"/>
        <v>6100000</v>
      </c>
      <c r="AE123" s="96">
        <f t="shared" si="119"/>
        <v>0</v>
      </c>
      <c r="AF123" s="73">
        <f t="shared" si="112"/>
        <v>0</v>
      </c>
      <c r="AG123" s="73">
        <f t="shared" si="99"/>
        <v>48</v>
      </c>
      <c r="AH123" s="96">
        <f t="shared" si="100"/>
        <v>0</v>
      </c>
      <c r="AI123" s="96">
        <f t="shared" si="120"/>
        <v>6100000</v>
      </c>
      <c r="AJ123" s="96">
        <f t="shared" si="121"/>
        <v>0</v>
      </c>
      <c r="AK123" s="73">
        <f t="shared" si="101"/>
        <v>0</v>
      </c>
      <c r="AL123" s="73">
        <f t="shared" si="102"/>
        <v>48</v>
      </c>
      <c r="AM123" s="96">
        <f t="shared" si="103"/>
        <v>0</v>
      </c>
      <c r="AN123" s="96">
        <f t="shared" si="104"/>
        <v>6100000</v>
      </c>
      <c r="AO123" s="96">
        <f t="shared" si="105"/>
        <v>0</v>
      </c>
      <c r="AP123" s="73">
        <f t="shared" si="106"/>
        <v>0</v>
      </c>
      <c r="AQ123" s="73">
        <f t="shared" si="107"/>
        <v>48</v>
      </c>
      <c r="AR123" s="96">
        <f t="shared" si="134"/>
        <v>0</v>
      </c>
      <c r="AS123" s="96">
        <f t="shared" si="109"/>
        <v>6100000</v>
      </c>
      <c r="AT123" s="96">
        <f t="shared" si="110"/>
        <v>0</v>
      </c>
      <c r="AU123" s="111"/>
      <c r="AV123" s="202">
        <f t="shared" si="111"/>
        <v>0</v>
      </c>
      <c r="AW123" s="203">
        <f t="shared" si="122"/>
        <v>0</v>
      </c>
      <c r="AX123" s="203">
        <f t="shared" si="123"/>
        <v>0</v>
      </c>
      <c r="AY123" s="203">
        <f t="shared" si="124"/>
        <v>0</v>
      </c>
      <c r="AZ123" s="203">
        <f t="shared" si="125"/>
        <v>0</v>
      </c>
      <c r="BA123" s="203">
        <f t="shared" si="126"/>
        <v>0</v>
      </c>
      <c r="BB123" s="203">
        <f t="shared" si="127"/>
        <v>0</v>
      </c>
      <c r="BC123" s="203">
        <f t="shared" si="128"/>
        <v>0</v>
      </c>
      <c r="BD123" s="203">
        <f t="shared" si="129"/>
        <v>0</v>
      </c>
      <c r="BE123" s="203">
        <f t="shared" si="130"/>
        <v>0</v>
      </c>
      <c r="BF123" s="203">
        <f t="shared" si="131"/>
        <v>0</v>
      </c>
      <c r="BG123" s="203">
        <f t="shared" si="132"/>
        <v>0</v>
      </c>
      <c r="BH123" s="203">
        <f t="shared" si="133"/>
        <v>0</v>
      </c>
    </row>
    <row r="124" spans="2:60" s="11" customFormat="1" x14ac:dyDescent="0.2">
      <c r="B124" s="97"/>
      <c r="C124" s="98">
        <v>43402</v>
      </c>
      <c r="D124" s="99" t="s">
        <v>243</v>
      </c>
      <c r="E124" s="100" t="s">
        <v>241</v>
      </c>
      <c r="F124" s="101"/>
      <c r="G124" s="102">
        <v>0.25</v>
      </c>
      <c r="H124" s="103"/>
      <c r="I124" s="103">
        <v>6130000</v>
      </c>
      <c r="J124" s="103"/>
      <c r="K124" s="103">
        <f t="shared" si="71"/>
        <v>6130000</v>
      </c>
      <c r="L124" s="103"/>
      <c r="M124" s="103"/>
      <c r="N124" s="103">
        <f t="shared" si="72"/>
        <v>6130000</v>
      </c>
      <c r="O124" s="104">
        <f t="shared" si="73"/>
        <v>4</v>
      </c>
      <c r="P124" s="101">
        <f t="shared" si="65"/>
        <v>48</v>
      </c>
      <c r="Q124" s="101">
        <f t="shared" si="74"/>
        <v>10</v>
      </c>
      <c r="R124" s="105">
        <f t="shared" si="75"/>
        <v>2018</v>
      </c>
      <c r="S124" s="106">
        <f t="shared" si="76"/>
        <v>9</v>
      </c>
      <c r="T124" s="107">
        <f t="shared" si="77"/>
        <v>2022</v>
      </c>
      <c r="U124" s="110">
        <f t="shared" si="66"/>
        <v>127708.33333333333</v>
      </c>
      <c r="V124" s="73">
        <v>0</v>
      </c>
      <c r="W124" s="73">
        <v>48</v>
      </c>
      <c r="X124" s="96">
        <f t="shared" si="115"/>
        <v>0</v>
      </c>
      <c r="Y124" s="96">
        <v>6130000</v>
      </c>
      <c r="Z124" s="96">
        <f t="shared" si="116"/>
        <v>0</v>
      </c>
      <c r="AA124" s="73">
        <f t="shared" si="117"/>
        <v>0</v>
      </c>
      <c r="AB124" s="73">
        <f t="shared" si="97"/>
        <v>48</v>
      </c>
      <c r="AC124" s="96">
        <f t="shared" si="118"/>
        <v>0</v>
      </c>
      <c r="AD124" s="96">
        <f t="shared" si="98"/>
        <v>6130000</v>
      </c>
      <c r="AE124" s="96">
        <f t="shared" si="119"/>
        <v>0</v>
      </c>
      <c r="AF124" s="73">
        <f t="shared" si="112"/>
        <v>0</v>
      </c>
      <c r="AG124" s="73">
        <f t="shared" si="99"/>
        <v>48</v>
      </c>
      <c r="AH124" s="96">
        <f t="shared" si="100"/>
        <v>0</v>
      </c>
      <c r="AI124" s="96">
        <f t="shared" si="120"/>
        <v>6130000</v>
      </c>
      <c r="AJ124" s="96">
        <f t="shared" si="121"/>
        <v>0</v>
      </c>
      <c r="AK124" s="73">
        <f t="shared" si="101"/>
        <v>0</v>
      </c>
      <c r="AL124" s="73">
        <f t="shared" si="102"/>
        <v>48</v>
      </c>
      <c r="AM124" s="96">
        <f t="shared" si="103"/>
        <v>0</v>
      </c>
      <c r="AN124" s="96">
        <f t="shared" si="104"/>
        <v>6130000</v>
      </c>
      <c r="AO124" s="96">
        <f t="shared" si="105"/>
        <v>0</v>
      </c>
      <c r="AP124" s="73">
        <f t="shared" si="106"/>
        <v>0</v>
      </c>
      <c r="AQ124" s="73">
        <f t="shared" si="107"/>
        <v>48</v>
      </c>
      <c r="AR124" s="96">
        <f t="shared" si="134"/>
        <v>0</v>
      </c>
      <c r="AS124" s="96">
        <f t="shared" si="109"/>
        <v>6130000</v>
      </c>
      <c r="AT124" s="96">
        <f t="shared" si="110"/>
        <v>0</v>
      </c>
      <c r="AU124" s="111"/>
      <c r="AV124" s="202">
        <f t="shared" si="111"/>
        <v>0</v>
      </c>
      <c r="AW124" s="203">
        <f t="shared" si="122"/>
        <v>0</v>
      </c>
      <c r="AX124" s="203">
        <f t="shared" si="123"/>
        <v>0</v>
      </c>
      <c r="AY124" s="203">
        <f t="shared" si="124"/>
        <v>0</v>
      </c>
      <c r="AZ124" s="203">
        <f t="shared" si="125"/>
        <v>0</v>
      </c>
      <c r="BA124" s="203">
        <f t="shared" si="126"/>
        <v>0</v>
      </c>
      <c r="BB124" s="203">
        <f t="shared" si="127"/>
        <v>0</v>
      </c>
      <c r="BC124" s="203">
        <f t="shared" si="128"/>
        <v>0</v>
      </c>
      <c r="BD124" s="203">
        <f t="shared" si="129"/>
        <v>0</v>
      </c>
      <c r="BE124" s="203">
        <f t="shared" si="130"/>
        <v>0</v>
      </c>
      <c r="BF124" s="203">
        <f t="shared" si="131"/>
        <v>0</v>
      </c>
      <c r="BG124" s="203">
        <f t="shared" si="132"/>
        <v>0</v>
      </c>
      <c r="BH124" s="203">
        <f t="shared" si="133"/>
        <v>0</v>
      </c>
    </row>
    <row r="125" spans="2:60" s="11" customFormat="1" x14ac:dyDescent="0.2">
      <c r="B125" s="97"/>
      <c r="C125" s="98">
        <v>43402</v>
      </c>
      <c r="D125" s="99" t="s">
        <v>244</v>
      </c>
      <c r="E125" s="100" t="s">
        <v>245</v>
      </c>
      <c r="F125" s="101"/>
      <c r="G125" s="102">
        <v>0.25</v>
      </c>
      <c r="H125" s="103"/>
      <c r="I125" s="103">
        <v>41545000</v>
      </c>
      <c r="J125" s="103"/>
      <c r="K125" s="103">
        <f t="shared" si="71"/>
        <v>41545000</v>
      </c>
      <c r="L125" s="103"/>
      <c r="M125" s="103"/>
      <c r="N125" s="103">
        <f t="shared" si="72"/>
        <v>41545000</v>
      </c>
      <c r="O125" s="104">
        <f t="shared" si="73"/>
        <v>4</v>
      </c>
      <c r="P125" s="101">
        <f t="shared" si="65"/>
        <v>48</v>
      </c>
      <c r="Q125" s="101">
        <f t="shared" si="74"/>
        <v>10</v>
      </c>
      <c r="R125" s="105">
        <f t="shared" si="75"/>
        <v>2018</v>
      </c>
      <c r="S125" s="106">
        <f t="shared" si="76"/>
        <v>9</v>
      </c>
      <c r="T125" s="107">
        <f t="shared" si="77"/>
        <v>2022</v>
      </c>
      <c r="U125" s="110">
        <f t="shared" si="66"/>
        <v>865520.83333333337</v>
      </c>
      <c r="V125" s="73">
        <v>0</v>
      </c>
      <c r="W125" s="73">
        <v>48</v>
      </c>
      <c r="X125" s="96">
        <f t="shared" si="115"/>
        <v>0</v>
      </c>
      <c r="Y125" s="96">
        <v>41545000</v>
      </c>
      <c r="Z125" s="96">
        <f t="shared" si="116"/>
        <v>0</v>
      </c>
      <c r="AA125" s="73">
        <f t="shared" si="117"/>
        <v>0</v>
      </c>
      <c r="AB125" s="73">
        <f t="shared" si="97"/>
        <v>48</v>
      </c>
      <c r="AC125" s="96">
        <f t="shared" si="118"/>
        <v>0</v>
      </c>
      <c r="AD125" s="96">
        <f t="shared" si="98"/>
        <v>41545000</v>
      </c>
      <c r="AE125" s="96">
        <f t="shared" si="119"/>
        <v>0</v>
      </c>
      <c r="AF125" s="73">
        <f t="shared" si="112"/>
        <v>0</v>
      </c>
      <c r="AG125" s="73">
        <f t="shared" si="99"/>
        <v>48</v>
      </c>
      <c r="AH125" s="96">
        <f t="shared" si="100"/>
        <v>0</v>
      </c>
      <c r="AI125" s="96">
        <f t="shared" si="120"/>
        <v>41545000</v>
      </c>
      <c r="AJ125" s="96">
        <f t="shared" si="121"/>
        <v>0</v>
      </c>
      <c r="AK125" s="73">
        <f t="shared" si="101"/>
        <v>0</v>
      </c>
      <c r="AL125" s="73">
        <f t="shared" si="102"/>
        <v>48</v>
      </c>
      <c r="AM125" s="96">
        <f t="shared" si="103"/>
        <v>0</v>
      </c>
      <c r="AN125" s="96">
        <f t="shared" si="104"/>
        <v>41545000</v>
      </c>
      <c r="AO125" s="96">
        <f t="shared" si="105"/>
        <v>0</v>
      </c>
      <c r="AP125" s="73">
        <f t="shared" si="106"/>
        <v>0</v>
      </c>
      <c r="AQ125" s="73">
        <f t="shared" si="107"/>
        <v>48</v>
      </c>
      <c r="AR125" s="96">
        <f t="shared" si="134"/>
        <v>0</v>
      </c>
      <c r="AS125" s="96">
        <f t="shared" si="109"/>
        <v>41545000</v>
      </c>
      <c r="AT125" s="96">
        <f t="shared" si="110"/>
        <v>0</v>
      </c>
      <c r="AU125" s="111"/>
      <c r="AV125" s="202">
        <f t="shared" si="111"/>
        <v>0</v>
      </c>
      <c r="AW125" s="203">
        <f t="shared" si="122"/>
        <v>0</v>
      </c>
      <c r="AX125" s="203">
        <f t="shared" si="123"/>
        <v>0</v>
      </c>
      <c r="AY125" s="203">
        <f t="shared" si="124"/>
        <v>0</v>
      </c>
      <c r="AZ125" s="203">
        <f t="shared" si="125"/>
        <v>0</v>
      </c>
      <c r="BA125" s="203">
        <f t="shared" si="126"/>
        <v>0</v>
      </c>
      <c r="BB125" s="203">
        <f t="shared" si="127"/>
        <v>0</v>
      </c>
      <c r="BC125" s="203">
        <f t="shared" si="128"/>
        <v>0</v>
      </c>
      <c r="BD125" s="203">
        <f t="shared" si="129"/>
        <v>0</v>
      </c>
      <c r="BE125" s="203">
        <f t="shared" si="130"/>
        <v>0</v>
      </c>
      <c r="BF125" s="203">
        <f t="shared" si="131"/>
        <v>0</v>
      </c>
      <c r="BG125" s="203">
        <f t="shared" si="132"/>
        <v>0</v>
      </c>
      <c r="BH125" s="203">
        <f t="shared" si="133"/>
        <v>0</v>
      </c>
    </row>
    <row r="126" spans="2:60" s="11" customFormat="1" x14ac:dyDescent="0.2">
      <c r="B126" s="97"/>
      <c r="C126" s="98"/>
      <c r="D126" s="99"/>
      <c r="E126" s="100"/>
      <c r="F126" s="101"/>
      <c r="G126" s="102"/>
      <c r="H126" s="103"/>
      <c r="I126" s="103"/>
      <c r="J126" s="103"/>
      <c r="K126" s="103"/>
      <c r="L126" s="103"/>
      <c r="M126" s="103"/>
      <c r="N126" s="103"/>
      <c r="O126" s="104"/>
      <c r="P126" s="101"/>
      <c r="Q126" s="101"/>
      <c r="R126" s="105"/>
      <c r="S126" s="106"/>
      <c r="T126" s="107"/>
      <c r="U126" s="110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53"/>
      <c r="AU126" s="111"/>
      <c r="AV126" s="224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</row>
    <row r="127" spans="2:60" x14ac:dyDescent="0.2">
      <c r="B127" s="68"/>
      <c r="C127" s="257">
        <v>43473</v>
      </c>
      <c r="D127" s="258" t="s">
        <v>273</v>
      </c>
      <c r="E127" s="259" t="s">
        <v>274</v>
      </c>
      <c r="F127" s="260"/>
      <c r="G127" s="261">
        <v>0.25</v>
      </c>
      <c r="H127" s="262"/>
      <c r="I127" s="262"/>
      <c r="J127" s="262"/>
      <c r="K127" s="262"/>
      <c r="L127" s="262"/>
      <c r="M127" s="262"/>
      <c r="N127" s="262">
        <v>6200000</v>
      </c>
      <c r="O127" s="263">
        <f t="shared" ref="O127:O131" si="135">100%/G127</f>
        <v>4</v>
      </c>
      <c r="P127" s="260">
        <f t="shared" ref="P127:P131" si="136">O127*12</f>
        <v>48</v>
      </c>
      <c r="Q127" s="260">
        <f t="shared" ref="Q127:Q131" si="137">MONTH(C127)</f>
        <v>1</v>
      </c>
      <c r="R127" s="264">
        <f t="shared" ref="R127:R131" si="138">YEAR(C127)</f>
        <v>2019</v>
      </c>
      <c r="S127" s="265">
        <f t="shared" ref="S127:S131" si="139">IF(Q127=1, 12, Q127-1)</f>
        <v>12</v>
      </c>
      <c r="T127" s="266">
        <f t="shared" ref="T127:T131" si="140">IF(Q127=1,R127+O127-1,R127+O127)</f>
        <v>2022</v>
      </c>
      <c r="U127" s="267">
        <f>N127/P127</f>
        <v>129166.66666666667</v>
      </c>
      <c r="V127" s="73">
        <v>12</v>
      </c>
      <c r="W127" s="73">
        <v>48</v>
      </c>
      <c r="X127" s="96">
        <f t="shared" ref="X127:X132" si="141">+V127*U127</f>
        <v>1550000</v>
      </c>
      <c r="Y127" s="96">
        <v>6200000</v>
      </c>
      <c r="Z127" s="96">
        <f t="shared" ref="Z127:Z132" si="142">N127-Y127</f>
        <v>0</v>
      </c>
      <c r="AA127" s="73">
        <f t="shared" ref="AA127:AA132" si="143">IF(W127&gt;=P127-12,P127-W127,12)</f>
        <v>0</v>
      </c>
      <c r="AB127" s="73">
        <f t="shared" ref="AB127:AB132" si="144">+W127+AA127</f>
        <v>48</v>
      </c>
      <c r="AC127" s="96">
        <f t="shared" ref="AC127:AC132" si="145">+AA127*U127</f>
        <v>0</v>
      </c>
      <c r="AD127" s="96">
        <f t="shared" ref="AD127:AD132" si="146">Y127+AC127</f>
        <v>6200000</v>
      </c>
      <c r="AE127" s="96">
        <f t="shared" ref="AE127:AE132" si="147">N127-AD127</f>
        <v>0</v>
      </c>
      <c r="AF127" s="73">
        <f>IF(AB127&gt;=P127-12,P127-AB127,12)</f>
        <v>0</v>
      </c>
      <c r="AG127" s="73">
        <f t="shared" ref="AG127:AG132" si="148">+AB127+AF127</f>
        <v>48</v>
      </c>
      <c r="AH127" s="96">
        <f t="shared" ref="AH127:AH132" si="149">+AF127*U127</f>
        <v>0</v>
      </c>
      <c r="AI127" s="96">
        <f t="shared" ref="AI127:AI132" si="150">AD127+AH127</f>
        <v>6200000</v>
      </c>
      <c r="AJ127" s="96">
        <f t="shared" ref="AJ127:AJ132" si="151">N127-AI127</f>
        <v>0</v>
      </c>
      <c r="AK127" s="73">
        <f t="shared" ref="AK127:AK132" si="152">IF(AG127&gt;=P127-12,P127-AG127,12)</f>
        <v>0</v>
      </c>
      <c r="AL127" s="73">
        <f t="shared" ref="AL127:AL132" si="153">+AG127+AK127</f>
        <v>48</v>
      </c>
      <c r="AM127" s="96">
        <f t="shared" ref="AM127:AM132" si="154">+AK127*U127</f>
        <v>0</v>
      </c>
      <c r="AN127" s="96">
        <f>AI127+AM127</f>
        <v>6200000</v>
      </c>
      <c r="AO127" s="96">
        <f>N127-AN127</f>
        <v>0</v>
      </c>
      <c r="AP127" s="73">
        <f t="shared" ref="AP127:AP132" si="155">IF(AL127&gt;=P127-12,P127-AL127,12)</f>
        <v>0</v>
      </c>
      <c r="AQ127" s="73">
        <f t="shared" ref="AQ127:AQ132" si="156">+AL127+AP127</f>
        <v>48</v>
      </c>
      <c r="AR127" s="96">
        <f t="shared" ref="AR127:AR132" si="157">+AP127*Z127</f>
        <v>0</v>
      </c>
      <c r="AS127" s="96">
        <f t="shared" ref="AS127:AS132" si="158">AN127+AR127</f>
        <v>6200000</v>
      </c>
      <c r="AT127" s="96">
        <f t="shared" ref="AT127:AT132" si="159">N127-AS127</f>
        <v>0</v>
      </c>
      <c r="AU127" s="60"/>
      <c r="AV127" s="202">
        <f t="shared" ref="AV127:AV131" si="160">SUM(AW127:BH127)</f>
        <v>0</v>
      </c>
      <c r="AW127" s="203">
        <f t="shared" ref="AW127:AW132" si="161">+U127*0</f>
        <v>0</v>
      </c>
      <c r="AX127" s="203">
        <f t="shared" ref="AX127:AX132" si="162">+U127*0</f>
        <v>0</v>
      </c>
      <c r="AY127" s="203">
        <f t="shared" ref="AY127:AY132" si="163">+U127*0</f>
        <v>0</v>
      </c>
      <c r="AZ127" s="203">
        <f t="shared" ref="AZ127:AZ132" si="164">+U127*0</f>
        <v>0</v>
      </c>
      <c r="BA127" s="203">
        <f t="shared" ref="BA127:BA132" si="165">+U127*0</f>
        <v>0</v>
      </c>
      <c r="BB127" s="203">
        <f t="shared" ref="BB127:BB132" si="166">+U127*0</f>
        <v>0</v>
      </c>
      <c r="BC127" s="203">
        <f t="shared" ref="BC127:BC132" si="167">+U127*0</f>
        <v>0</v>
      </c>
      <c r="BD127" s="203">
        <f t="shared" ref="BD127:BD132" si="168">+U127*0</f>
        <v>0</v>
      </c>
      <c r="BE127" s="203">
        <f t="shared" ref="BE127:BE132" si="169">+U127*0</f>
        <v>0</v>
      </c>
      <c r="BF127" s="203">
        <f t="shared" ref="BF127:BF132" si="170">+U127*0</f>
        <v>0</v>
      </c>
      <c r="BG127" s="203">
        <f t="shared" ref="BG127:BG132" si="171">+U127*0</f>
        <v>0</v>
      </c>
      <c r="BH127" s="203">
        <f t="shared" ref="BH127:BH132" si="172">+U127*0</f>
        <v>0</v>
      </c>
    </row>
    <row r="128" spans="2:60" x14ac:dyDescent="0.2">
      <c r="B128" s="68"/>
      <c r="C128" s="257">
        <v>43503</v>
      </c>
      <c r="D128" s="258" t="s">
        <v>281</v>
      </c>
      <c r="E128" s="259" t="s">
        <v>275</v>
      </c>
      <c r="F128" s="260"/>
      <c r="G128" s="261">
        <v>0.25</v>
      </c>
      <c r="H128" s="262"/>
      <c r="I128" s="262"/>
      <c r="J128" s="262"/>
      <c r="K128" s="262"/>
      <c r="L128" s="262"/>
      <c r="M128" s="262"/>
      <c r="N128" s="262">
        <v>855400</v>
      </c>
      <c r="O128" s="263">
        <f t="shared" si="135"/>
        <v>4</v>
      </c>
      <c r="P128" s="260">
        <f t="shared" si="136"/>
        <v>48</v>
      </c>
      <c r="Q128" s="260">
        <f t="shared" si="137"/>
        <v>2</v>
      </c>
      <c r="R128" s="264">
        <f t="shared" si="138"/>
        <v>2019</v>
      </c>
      <c r="S128" s="265">
        <f t="shared" si="139"/>
        <v>1</v>
      </c>
      <c r="T128" s="266">
        <f t="shared" si="140"/>
        <v>2023</v>
      </c>
      <c r="U128" s="267">
        <f t="shared" ref="U128:U131" si="173">N128/P128</f>
        <v>17820.833333333332</v>
      </c>
      <c r="V128" s="73">
        <v>12</v>
      </c>
      <c r="W128" s="73">
        <v>47</v>
      </c>
      <c r="X128" s="96">
        <f t="shared" si="141"/>
        <v>213850</v>
      </c>
      <c r="Y128" s="96">
        <v>837579.16666666663</v>
      </c>
      <c r="Z128" s="96">
        <f t="shared" si="142"/>
        <v>17820.833333333372</v>
      </c>
      <c r="AA128" s="73">
        <f t="shared" si="143"/>
        <v>1</v>
      </c>
      <c r="AB128" s="73">
        <f t="shared" si="144"/>
        <v>48</v>
      </c>
      <c r="AC128" s="96">
        <f>+AA128*U128</f>
        <v>17820.833333333332</v>
      </c>
      <c r="AD128" s="96">
        <f>Y128+AC128</f>
        <v>855400</v>
      </c>
      <c r="AE128" s="96">
        <f t="shared" si="147"/>
        <v>0</v>
      </c>
      <c r="AF128" s="73">
        <f t="shared" ref="AF128:AF132" si="174">IF(AB128&gt;=P128-12,P128-AB128,12)</f>
        <v>0</v>
      </c>
      <c r="AG128" s="73">
        <f t="shared" si="148"/>
        <v>48</v>
      </c>
      <c r="AH128" s="96">
        <f t="shared" si="149"/>
        <v>0</v>
      </c>
      <c r="AI128" s="96">
        <f t="shared" si="150"/>
        <v>855400</v>
      </c>
      <c r="AJ128" s="96">
        <f t="shared" si="151"/>
        <v>0</v>
      </c>
      <c r="AK128" s="73">
        <f t="shared" si="152"/>
        <v>0</v>
      </c>
      <c r="AL128" s="73">
        <f t="shared" si="153"/>
        <v>48</v>
      </c>
      <c r="AM128" s="96">
        <f t="shared" si="154"/>
        <v>0</v>
      </c>
      <c r="AN128" s="96">
        <f t="shared" ref="AN128:AN132" si="175">AI128+AM128</f>
        <v>855400</v>
      </c>
      <c r="AO128" s="96">
        <f t="shared" ref="AO128:AO132" si="176">N128-AN128</f>
        <v>0</v>
      </c>
      <c r="AP128" s="73">
        <f t="shared" si="155"/>
        <v>0</v>
      </c>
      <c r="AQ128" s="73">
        <f t="shared" si="156"/>
        <v>48</v>
      </c>
      <c r="AR128" s="96">
        <f t="shared" si="157"/>
        <v>0</v>
      </c>
      <c r="AS128" s="96">
        <f t="shared" si="158"/>
        <v>855400</v>
      </c>
      <c r="AT128" s="96">
        <f t="shared" si="159"/>
        <v>0</v>
      </c>
      <c r="AU128" s="60"/>
      <c r="AV128" s="202">
        <f t="shared" si="160"/>
        <v>0</v>
      </c>
      <c r="AW128" s="203">
        <f t="shared" si="161"/>
        <v>0</v>
      </c>
      <c r="AX128" s="203">
        <f t="shared" si="162"/>
        <v>0</v>
      </c>
      <c r="AY128" s="203">
        <f t="shared" si="163"/>
        <v>0</v>
      </c>
      <c r="AZ128" s="203">
        <f t="shared" si="164"/>
        <v>0</v>
      </c>
      <c r="BA128" s="203">
        <f t="shared" si="165"/>
        <v>0</v>
      </c>
      <c r="BB128" s="203">
        <f t="shared" si="166"/>
        <v>0</v>
      </c>
      <c r="BC128" s="203">
        <f t="shared" si="167"/>
        <v>0</v>
      </c>
      <c r="BD128" s="203">
        <f t="shared" si="168"/>
        <v>0</v>
      </c>
      <c r="BE128" s="203">
        <f t="shared" si="169"/>
        <v>0</v>
      </c>
      <c r="BF128" s="203">
        <f t="shared" si="170"/>
        <v>0</v>
      </c>
      <c r="BG128" s="203">
        <f t="shared" si="171"/>
        <v>0</v>
      </c>
      <c r="BH128" s="203">
        <f t="shared" si="172"/>
        <v>0</v>
      </c>
    </row>
    <row r="129" spans="2:60" x14ac:dyDescent="0.2">
      <c r="B129" s="68"/>
      <c r="C129" s="257">
        <v>43525</v>
      </c>
      <c r="D129" s="258" t="s">
        <v>276</v>
      </c>
      <c r="E129" s="259" t="s">
        <v>277</v>
      </c>
      <c r="F129" s="260"/>
      <c r="G129" s="261">
        <v>0.25</v>
      </c>
      <c r="H129" s="262"/>
      <c r="I129" s="262"/>
      <c r="J129" s="262"/>
      <c r="K129" s="262"/>
      <c r="L129" s="262"/>
      <c r="M129" s="262"/>
      <c r="N129" s="262">
        <v>5440000</v>
      </c>
      <c r="O129" s="263">
        <f t="shared" si="135"/>
        <v>4</v>
      </c>
      <c r="P129" s="260">
        <f t="shared" si="136"/>
        <v>48</v>
      </c>
      <c r="Q129" s="260">
        <f t="shared" si="137"/>
        <v>3</v>
      </c>
      <c r="R129" s="264">
        <f t="shared" si="138"/>
        <v>2019</v>
      </c>
      <c r="S129" s="265">
        <f t="shared" si="139"/>
        <v>2</v>
      </c>
      <c r="T129" s="266">
        <f t="shared" si="140"/>
        <v>2023</v>
      </c>
      <c r="U129" s="267">
        <f t="shared" si="173"/>
        <v>113333.33333333333</v>
      </c>
      <c r="V129" s="73">
        <v>12</v>
      </c>
      <c r="W129" s="73">
        <v>46</v>
      </c>
      <c r="X129" s="96">
        <f t="shared" si="141"/>
        <v>1360000</v>
      </c>
      <c r="Y129" s="96">
        <v>5213333.333333333</v>
      </c>
      <c r="Z129" s="96">
        <f t="shared" si="142"/>
        <v>226666.66666666698</v>
      </c>
      <c r="AA129" s="73">
        <f t="shared" si="143"/>
        <v>2</v>
      </c>
      <c r="AB129" s="73">
        <f t="shared" si="144"/>
        <v>48</v>
      </c>
      <c r="AC129" s="96">
        <f t="shared" si="145"/>
        <v>226666.66666666666</v>
      </c>
      <c r="AD129" s="96">
        <f t="shared" si="146"/>
        <v>5440000</v>
      </c>
      <c r="AE129" s="96">
        <f t="shared" si="147"/>
        <v>0</v>
      </c>
      <c r="AF129" s="73">
        <f t="shared" si="174"/>
        <v>0</v>
      </c>
      <c r="AG129" s="73">
        <f t="shared" si="148"/>
        <v>48</v>
      </c>
      <c r="AH129" s="96">
        <f t="shared" si="149"/>
        <v>0</v>
      </c>
      <c r="AI129" s="96">
        <f t="shared" si="150"/>
        <v>5440000</v>
      </c>
      <c r="AJ129" s="96">
        <f t="shared" si="151"/>
        <v>0</v>
      </c>
      <c r="AK129" s="73">
        <f t="shared" si="152"/>
        <v>0</v>
      </c>
      <c r="AL129" s="73">
        <f t="shared" si="153"/>
        <v>48</v>
      </c>
      <c r="AM129" s="96">
        <f t="shared" si="154"/>
        <v>0</v>
      </c>
      <c r="AN129" s="96">
        <f t="shared" si="175"/>
        <v>5440000</v>
      </c>
      <c r="AO129" s="96">
        <f t="shared" si="176"/>
        <v>0</v>
      </c>
      <c r="AP129" s="73">
        <f t="shared" si="155"/>
        <v>0</v>
      </c>
      <c r="AQ129" s="73">
        <f t="shared" si="156"/>
        <v>48</v>
      </c>
      <c r="AR129" s="96">
        <f t="shared" si="157"/>
        <v>0</v>
      </c>
      <c r="AS129" s="96">
        <f t="shared" si="158"/>
        <v>5440000</v>
      </c>
      <c r="AT129" s="96">
        <f t="shared" si="159"/>
        <v>0</v>
      </c>
      <c r="AU129" s="60"/>
      <c r="AV129" s="202">
        <f t="shared" si="160"/>
        <v>0</v>
      </c>
      <c r="AW129" s="203">
        <f t="shared" si="161"/>
        <v>0</v>
      </c>
      <c r="AX129" s="203">
        <f t="shared" si="162"/>
        <v>0</v>
      </c>
      <c r="AY129" s="203">
        <f t="shared" si="163"/>
        <v>0</v>
      </c>
      <c r="AZ129" s="203">
        <f t="shared" si="164"/>
        <v>0</v>
      </c>
      <c r="BA129" s="203">
        <f t="shared" si="165"/>
        <v>0</v>
      </c>
      <c r="BB129" s="203">
        <f t="shared" si="166"/>
        <v>0</v>
      </c>
      <c r="BC129" s="203">
        <f t="shared" si="167"/>
        <v>0</v>
      </c>
      <c r="BD129" s="203">
        <f t="shared" si="168"/>
        <v>0</v>
      </c>
      <c r="BE129" s="203">
        <f t="shared" si="169"/>
        <v>0</v>
      </c>
      <c r="BF129" s="203">
        <f t="shared" si="170"/>
        <v>0</v>
      </c>
      <c r="BG129" s="203">
        <f t="shared" si="171"/>
        <v>0</v>
      </c>
      <c r="BH129" s="203">
        <f t="shared" si="172"/>
        <v>0</v>
      </c>
    </row>
    <row r="130" spans="2:60" x14ac:dyDescent="0.2">
      <c r="B130" s="68"/>
      <c r="C130" s="257">
        <v>43626</v>
      </c>
      <c r="D130" s="258" t="s">
        <v>280</v>
      </c>
      <c r="E130" s="259" t="s">
        <v>278</v>
      </c>
      <c r="F130" s="260"/>
      <c r="G130" s="261">
        <v>0.25</v>
      </c>
      <c r="H130" s="262"/>
      <c r="I130" s="262"/>
      <c r="J130" s="262"/>
      <c r="K130" s="262"/>
      <c r="L130" s="262"/>
      <c r="M130" s="262"/>
      <c r="N130" s="262">
        <v>2258000</v>
      </c>
      <c r="O130" s="263">
        <f t="shared" si="135"/>
        <v>4</v>
      </c>
      <c r="P130" s="260">
        <f t="shared" si="136"/>
        <v>48</v>
      </c>
      <c r="Q130" s="260">
        <f t="shared" si="137"/>
        <v>6</v>
      </c>
      <c r="R130" s="264">
        <f t="shared" si="138"/>
        <v>2019</v>
      </c>
      <c r="S130" s="265">
        <f t="shared" si="139"/>
        <v>5</v>
      </c>
      <c r="T130" s="266">
        <f t="shared" si="140"/>
        <v>2023</v>
      </c>
      <c r="U130" s="267">
        <f t="shared" si="173"/>
        <v>47041.666666666664</v>
      </c>
      <c r="V130" s="73">
        <v>12</v>
      </c>
      <c r="W130" s="73">
        <v>43</v>
      </c>
      <c r="X130" s="96">
        <f t="shared" si="141"/>
        <v>564500</v>
      </c>
      <c r="Y130" s="96">
        <v>2022791.6666666665</v>
      </c>
      <c r="Z130" s="96">
        <f t="shared" si="142"/>
        <v>235208.33333333349</v>
      </c>
      <c r="AA130" s="73">
        <f t="shared" si="143"/>
        <v>5</v>
      </c>
      <c r="AB130" s="73">
        <f t="shared" si="144"/>
        <v>48</v>
      </c>
      <c r="AC130" s="96">
        <f t="shared" si="145"/>
        <v>235208.33333333331</v>
      </c>
      <c r="AD130" s="96">
        <f t="shared" si="146"/>
        <v>2258000</v>
      </c>
      <c r="AE130" s="96">
        <f t="shared" si="147"/>
        <v>0</v>
      </c>
      <c r="AF130" s="73">
        <f t="shared" si="174"/>
        <v>0</v>
      </c>
      <c r="AG130" s="73">
        <f t="shared" si="148"/>
        <v>48</v>
      </c>
      <c r="AH130" s="96">
        <f t="shared" si="149"/>
        <v>0</v>
      </c>
      <c r="AI130" s="96">
        <f t="shared" si="150"/>
        <v>2258000</v>
      </c>
      <c r="AJ130" s="96">
        <f t="shared" si="151"/>
        <v>0</v>
      </c>
      <c r="AK130" s="73">
        <f t="shared" si="152"/>
        <v>0</v>
      </c>
      <c r="AL130" s="73">
        <f t="shared" si="153"/>
        <v>48</v>
      </c>
      <c r="AM130" s="96">
        <f t="shared" si="154"/>
        <v>0</v>
      </c>
      <c r="AN130" s="96">
        <f t="shared" si="175"/>
        <v>2258000</v>
      </c>
      <c r="AO130" s="96">
        <f t="shared" si="176"/>
        <v>0</v>
      </c>
      <c r="AP130" s="73">
        <f t="shared" si="155"/>
        <v>0</v>
      </c>
      <c r="AQ130" s="73">
        <f t="shared" si="156"/>
        <v>48</v>
      </c>
      <c r="AR130" s="96">
        <f t="shared" si="157"/>
        <v>0</v>
      </c>
      <c r="AS130" s="96">
        <f t="shared" si="158"/>
        <v>2258000</v>
      </c>
      <c r="AT130" s="96">
        <f t="shared" si="159"/>
        <v>0</v>
      </c>
      <c r="AU130" s="60"/>
      <c r="AV130" s="202">
        <f t="shared" si="160"/>
        <v>0</v>
      </c>
      <c r="AW130" s="203">
        <f t="shared" si="161"/>
        <v>0</v>
      </c>
      <c r="AX130" s="203">
        <f t="shared" si="162"/>
        <v>0</v>
      </c>
      <c r="AY130" s="203">
        <f t="shared" si="163"/>
        <v>0</v>
      </c>
      <c r="AZ130" s="203">
        <f t="shared" si="164"/>
        <v>0</v>
      </c>
      <c r="BA130" s="203">
        <f t="shared" si="165"/>
        <v>0</v>
      </c>
      <c r="BB130" s="203">
        <f t="shared" si="166"/>
        <v>0</v>
      </c>
      <c r="BC130" s="203">
        <f t="shared" si="167"/>
        <v>0</v>
      </c>
      <c r="BD130" s="203">
        <f t="shared" si="168"/>
        <v>0</v>
      </c>
      <c r="BE130" s="203">
        <f t="shared" si="169"/>
        <v>0</v>
      </c>
      <c r="BF130" s="203">
        <f t="shared" si="170"/>
        <v>0</v>
      </c>
      <c r="BG130" s="203">
        <f t="shared" si="171"/>
        <v>0</v>
      </c>
      <c r="BH130" s="203">
        <f t="shared" si="172"/>
        <v>0</v>
      </c>
    </row>
    <row r="131" spans="2:60" x14ac:dyDescent="0.2">
      <c r="B131" s="68"/>
      <c r="C131" s="257">
        <v>43650</v>
      </c>
      <c r="D131" s="258" t="s">
        <v>279</v>
      </c>
      <c r="E131" s="259" t="s">
        <v>282</v>
      </c>
      <c r="F131" s="260"/>
      <c r="G131" s="261">
        <v>0.25</v>
      </c>
      <c r="H131" s="262"/>
      <c r="I131" s="262"/>
      <c r="J131" s="262"/>
      <c r="K131" s="262"/>
      <c r="L131" s="262"/>
      <c r="M131" s="262"/>
      <c r="N131" s="262">
        <v>701000</v>
      </c>
      <c r="O131" s="263">
        <f t="shared" si="135"/>
        <v>4</v>
      </c>
      <c r="P131" s="260">
        <f t="shared" si="136"/>
        <v>48</v>
      </c>
      <c r="Q131" s="260">
        <f t="shared" si="137"/>
        <v>7</v>
      </c>
      <c r="R131" s="264">
        <f t="shared" si="138"/>
        <v>2019</v>
      </c>
      <c r="S131" s="265">
        <f t="shared" si="139"/>
        <v>6</v>
      </c>
      <c r="T131" s="266">
        <f t="shared" si="140"/>
        <v>2023</v>
      </c>
      <c r="U131" s="267">
        <f t="shared" si="173"/>
        <v>14604.166666666666</v>
      </c>
      <c r="V131" s="73">
        <v>12</v>
      </c>
      <c r="W131" s="73">
        <v>42</v>
      </c>
      <c r="X131" s="96">
        <f t="shared" si="141"/>
        <v>175250</v>
      </c>
      <c r="Y131" s="96">
        <v>613375</v>
      </c>
      <c r="Z131" s="96">
        <f t="shared" si="142"/>
        <v>87625</v>
      </c>
      <c r="AA131" s="73">
        <f t="shared" si="143"/>
        <v>6</v>
      </c>
      <c r="AB131" s="73">
        <f t="shared" si="144"/>
        <v>48</v>
      </c>
      <c r="AC131" s="96">
        <f t="shared" si="145"/>
        <v>87625</v>
      </c>
      <c r="AD131" s="96">
        <f t="shared" si="146"/>
        <v>701000</v>
      </c>
      <c r="AE131" s="96">
        <f t="shared" si="147"/>
        <v>0</v>
      </c>
      <c r="AF131" s="73">
        <f t="shared" si="174"/>
        <v>0</v>
      </c>
      <c r="AG131" s="73">
        <f t="shared" si="148"/>
        <v>48</v>
      </c>
      <c r="AH131" s="96">
        <f t="shared" si="149"/>
        <v>0</v>
      </c>
      <c r="AI131" s="96">
        <f t="shared" si="150"/>
        <v>701000</v>
      </c>
      <c r="AJ131" s="96">
        <f t="shared" si="151"/>
        <v>0</v>
      </c>
      <c r="AK131" s="73">
        <f t="shared" si="152"/>
        <v>0</v>
      </c>
      <c r="AL131" s="73">
        <f t="shared" si="153"/>
        <v>48</v>
      </c>
      <c r="AM131" s="96">
        <f t="shared" si="154"/>
        <v>0</v>
      </c>
      <c r="AN131" s="96">
        <f t="shared" si="175"/>
        <v>701000</v>
      </c>
      <c r="AO131" s="96">
        <f t="shared" si="176"/>
        <v>0</v>
      </c>
      <c r="AP131" s="73">
        <f t="shared" si="155"/>
        <v>0</v>
      </c>
      <c r="AQ131" s="73">
        <f t="shared" si="156"/>
        <v>48</v>
      </c>
      <c r="AR131" s="96">
        <f t="shared" si="157"/>
        <v>0</v>
      </c>
      <c r="AS131" s="96">
        <f t="shared" si="158"/>
        <v>701000</v>
      </c>
      <c r="AT131" s="96">
        <f t="shared" si="159"/>
        <v>0</v>
      </c>
      <c r="AU131" s="60"/>
      <c r="AV131" s="202">
        <f t="shared" si="160"/>
        <v>0</v>
      </c>
      <c r="AW131" s="203">
        <f t="shared" si="161"/>
        <v>0</v>
      </c>
      <c r="AX131" s="203">
        <f t="shared" si="162"/>
        <v>0</v>
      </c>
      <c r="AY131" s="203">
        <f t="shared" si="163"/>
        <v>0</v>
      </c>
      <c r="AZ131" s="203">
        <f t="shared" si="164"/>
        <v>0</v>
      </c>
      <c r="BA131" s="203">
        <f t="shared" si="165"/>
        <v>0</v>
      </c>
      <c r="BB131" s="203">
        <f t="shared" si="166"/>
        <v>0</v>
      </c>
      <c r="BC131" s="203">
        <f t="shared" si="167"/>
        <v>0</v>
      </c>
      <c r="BD131" s="203">
        <f t="shared" si="168"/>
        <v>0</v>
      </c>
      <c r="BE131" s="203">
        <f t="shared" si="169"/>
        <v>0</v>
      </c>
      <c r="BF131" s="203">
        <f t="shared" si="170"/>
        <v>0</v>
      </c>
      <c r="BG131" s="203">
        <f t="shared" si="171"/>
        <v>0</v>
      </c>
      <c r="BH131" s="203">
        <f t="shared" si="172"/>
        <v>0</v>
      </c>
    </row>
    <row r="132" spans="2:60" x14ac:dyDescent="0.2">
      <c r="B132" s="68"/>
      <c r="C132" s="257">
        <v>43762</v>
      </c>
      <c r="D132" s="258" t="s">
        <v>287</v>
      </c>
      <c r="E132" s="259" t="s">
        <v>288</v>
      </c>
      <c r="F132" s="260"/>
      <c r="G132" s="261">
        <v>0.25</v>
      </c>
      <c r="H132" s="262"/>
      <c r="I132" s="262"/>
      <c r="J132" s="262"/>
      <c r="K132" s="262"/>
      <c r="L132" s="262"/>
      <c r="M132" s="262"/>
      <c r="N132" s="262">
        <v>6200000</v>
      </c>
      <c r="O132" s="263">
        <f t="shared" ref="O132" si="177">100%/G132</f>
        <v>4</v>
      </c>
      <c r="P132" s="260">
        <f t="shared" ref="P132" si="178">O132*12</f>
        <v>48</v>
      </c>
      <c r="Q132" s="260">
        <f t="shared" ref="Q132" si="179">MONTH(C132)</f>
        <v>10</v>
      </c>
      <c r="R132" s="264">
        <f t="shared" ref="R132" si="180">YEAR(C132)</f>
        <v>2019</v>
      </c>
      <c r="S132" s="265">
        <f t="shared" ref="S132" si="181">IF(Q132=1, 12, Q132-1)</f>
        <v>9</v>
      </c>
      <c r="T132" s="266">
        <f t="shared" ref="T132" si="182">IF(Q132=1,R132+O132-1,R132+O132)</f>
        <v>2023</v>
      </c>
      <c r="U132" s="267">
        <f t="shared" ref="U132" si="183">N132/P132</f>
        <v>129166.66666666667</v>
      </c>
      <c r="V132" s="73">
        <v>12</v>
      </c>
      <c r="W132" s="73">
        <v>39</v>
      </c>
      <c r="X132" s="96">
        <f t="shared" si="141"/>
        <v>1550000</v>
      </c>
      <c r="Y132" s="96">
        <v>5037500</v>
      </c>
      <c r="Z132" s="96">
        <f t="shared" si="142"/>
        <v>1162500</v>
      </c>
      <c r="AA132" s="73">
        <f t="shared" si="143"/>
        <v>9</v>
      </c>
      <c r="AB132" s="73">
        <f t="shared" si="144"/>
        <v>48</v>
      </c>
      <c r="AC132" s="96">
        <f t="shared" si="145"/>
        <v>1162500</v>
      </c>
      <c r="AD132" s="96">
        <f t="shared" si="146"/>
        <v>6200000</v>
      </c>
      <c r="AE132" s="96">
        <f t="shared" si="147"/>
        <v>0</v>
      </c>
      <c r="AF132" s="73">
        <f t="shared" si="174"/>
        <v>0</v>
      </c>
      <c r="AG132" s="73">
        <f t="shared" si="148"/>
        <v>48</v>
      </c>
      <c r="AH132" s="96">
        <f t="shared" si="149"/>
        <v>0</v>
      </c>
      <c r="AI132" s="96">
        <f t="shared" si="150"/>
        <v>6200000</v>
      </c>
      <c r="AJ132" s="96">
        <f t="shared" si="151"/>
        <v>0</v>
      </c>
      <c r="AK132" s="73">
        <f t="shared" si="152"/>
        <v>0</v>
      </c>
      <c r="AL132" s="73">
        <f t="shared" si="153"/>
        <v>48</v>
      </c>
      <c r="AM132" s="96">
        <f t="shared" si="154"/>
        <v>0</v>
      </c>
      <c r="AN132" s="96">
        <f t="shared" si="175"/>
        <v>6200000</v>
      </c>
      <c r="AO132" s="96">
        <f t="shared" si="176"/>
        <v>0</v>
      </c>
      <c r="AP132" s="73">
        <f t="shared" si="155"/>
        <v>0</v>
      </c>
      <c r="AQ132" s="73">
        <f t="shared" si="156"/>
        <v>48</v>
      </c>
      <c r="AR132" s="96">
        <f t="shared" si="157"/>
        <v>0</v>
      </c>
      <c r="AS132" s="96">
        <f t="shared" si="158"/>
        <v>6200000</v>
      </c>
      <c r="AT132" s="96">
        <f t="shared" si="159"/>
        <v>0</v>
      </c>
      <c r="AU132" s="60"/>
      <c r="AV132" s="202">
        <f t="shared" ref="AV132" si="184">SUM(AW132:BH132)</f>
        <v>0</v>
      </c>
      <c r="AW132" s="203">
        <f t="shared" si="161"/>
        <v>0</v>
      </c>
      <c r="AX132" s="203">
        <f t="shared" si="162"/>
        <v>0</v>
      </c>
      <c r="AY132" s="203">
        <f t="shared" si="163"/>
        <v>0</v>
      </c>
      <c r="AZ132" s="203">
        <f t="shared" si="164"/>
        <v>0</v>
      </c>
      <c r="BA132" s="203">
        <f t="shared" si="165"/>
        <v>0</v>
      </c>
      <c r="BB132" s="203">
        <f t="shared" si="166"/>
        <v>0</v>
      </c>
      <c r="BC132" s="203">
        <f t="shared" si="167"/>
        <v>0</v>
      </c>
      <c r="BD132" s="203">
        <f t="shared" si="168"/>
        <v>0</v>
      </c>
      <c r="BE132" s="203">
        <f t="shared" si="169"/>
        <v>0</v>
      </c>
      <c r="BF132" s="203">
        <f t="shared" si="170"/>
        <v>0</v>
      </c>
      <c r="BG132" s="203">
        <f t="shared" si="171"/>
        <v>0</v>
      </c>
      <c r="BH132" s="203">
        <f t="shared" si="172"/>
        <v>0</v>
      </c>
    </row>
    <row r="133" spans="2:60" x14ac:dyDescent="0.2">
      <c r="B133" s="68"/>
      <c r="C133" s="257"/>
      <c r="D133" s="258"/>
      <c r="E133" s="259"/>
      <c r="F133" s="260"/>
      <c r="G133" s="261"/>
      <c r="H133" s="262"/>
      <c r="I133" s="262"/>
      <c r="J133" s="262"/>
      <c r="K133" s="262"/>
      <c r="L133" s="262"/>
      <c r="M133" s="262"/>
      <c r="N133" s="262"/>
      <c r="O133" s="263"/>
      <c r="P133" s="260"/>
      <c r="Q133" s="260"/>
      <c r="R133" s="264"/>
      <c r="S133" s="265"/>
      <c r="T133" s="266"/>
      <c r="U133" s="267"/>
      <c r="V133" s="73"/>
      <c r="W133" s="73"/>
      <c r="X133" s="253"/>
      <c r="Y133" s="253"/>
      <c r="Z133" s="253"/>
      <c r="AA133" s="73"/>
      <c r="AB133" s="73"/>
      <c r="AC133" s="253"/>
      <c r="AD133" s="253"/>
      <c r="AE133" s="253"/>
      <c r="AF133" s="73"/>
      <c r="AG133" s="7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3"/>
      <c r="AU133" s="60"/>
      <c r="AV133" s="224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</row>
    <row r="134" spans="2:60" x14ac:dyDescent="0.2">
      <c r="B134" s="68"/>
      <c r="C134" s="257">
        <v>43980</v>
      </c>
      <c r="D134" s="258" t="s">
        <v>295</v>
      </c>
      <c r="E134" s="259" t="s">
        <v>300</v>
      </c>
      <c r="F134" s="260"/>
      <c r="G134" s="261">
        <v>0.25</v>
      </c>
      <c r="H134" s="262"/>
      <c r="I134" s="262"/>
      <c r="J134" s="262"/>
      <c r="K134" s="262"/>
      <c r="L134" s="262"/>
      <c r="M134" s="262"/>
      <c r="N134" s="262">
        <v>27045200</v>
      </c>
      <c r="O134" s="263">
        <f t="shared" ref="O134:O138" si="185">100%/G134</f>
        <v>4</v>
      </c>
      <c r="P134" s="260">
        <f t="shared" ref="P134:P138" si="186">O134*12</f>
        <v>48</v>
      </c>
      <c r="Q134" s="260">
        <f t="shared" ref="Q134:Q138" si="187">MONTH(C134)</f>
        <v>5</v>
      </c>
      <c r="R134" s="264">
        <f t="shared" ref="R134:R138" si="188">YEAR(C134)</f>
        <v>2020</v>
      </c>
      <c r="S134" s="265">
        <f t="shared" ref="S134:S138" si="189">IF(Q134=1, 12, Q134-1)</f>
        <v>4</v>
      </c>
      <c r="T134" s="266">
        <f t="shared" ref="T134:T138" si="190">IF(Q134=1,R134+O134-1,R134+O134)</f>
        <v>2024</v>
      </c>
      <c r="U134" s="267">
        <f>N134/P134</f>
        <v>563441.66666666663</v>
      </c>
      <c r="V134" s="73">
        <v>12</v>
      </c>
      <c r="W134" s="73">
        <v>32</v>
      </c>
      <c r="X134" s="96">
        <f t="shared" ref="X134:X140" si="191">+V134*U134</f>
        <v>6761300</v>
      </c>
      <c r="Y134" s="96">
        <v>18030133.333333332</v>
      </c>
      <c r="Z134" s="96">
        <f t="shared" ref="Z134:Z140" si="192">N134-Y134</f>
        <v>9015066.6666666679</v>
      </c>
      <c r="AA134" s="73">
        <f t="shared" ref="AA134:AA140" si="193">IF(W134&gt;=P134-12,P134-W134,12)</f>
        <v>12</v>
      </c>
      <c r="AB134" s="73">
        <f t="shared" ref="AB134:AB140" si="194">+W134+AA134</f>
        <v>44</v>
      </c>
      <c r="AC134" s="96">
        <f t="shared" ref="AC134:AC140" si="195">+AA134*U134</f>
        <v>6761300</v>
      </c>
      <c r="AD134" s="96">
        <f t="shared" ref="AD134:AD140" si="196">Y134+AC134</f>
        <v>24791433.333333332</v>
      </c>
      <c r="AE134" s="96">
        <f t="shared" ref="AE134:AE140" si="197">N134-AD134</f>
        <v>2253766.6666666679</v>
      </c>
      <c r="AF134" s="73">
        <f t="shared" ref="AF134:AF140" si="198">IF(AB134&gt;=P134-12,P134-AB134,12)</f>
        <v>4</v>
      </c>
      <c r="AG134" s="73">
        <f t="shared" ref="AG134:AG140" si="199">+AB134+AF134</f>
        <v>48</v>
      </c>
      <c r="AH134" s="96">
        <f t="shared" ref="AH134:AH140" si="200">+AF134*U134</f>
        <v>2253766.6666666665</v>
      </c>
      <c r="AI134" s="96">
        <f t="shared" ref="AI134:AI140" si="201">AD134+AH134</f>
        <v>27045200</v>
      </c>
      <c r="AJ134" s="96">
        <f t="shared" ref="AJ134:AJ140" si="202">N134-AI134</f>
        <v>0</v>
      </c>
      <c r="AK134" s="73">
        <f t="shared" ref="AK134:AK140" si="203">IF(AG134&gt;=P134-12,P134-AG134,12)</f>
        <v>0</v>
      </c>
      <c r="AL134" s="73">
        <f t="shared" ref="AL134:AL140" si="204">+AG134+AK134</f>
        <v>48</v>
      </c>
      <c r="AM134" s="96">
        <f t="shared" ref="AM134:AM140" si="205">+AK134*U134</f>
        <v>0</v>
      </c>
      <c r="AN134" s="96">
        <f t="shared" ref="AN134:AN140" si="206">AI134+AM134</f>
        <v>27045200</v>
      </c>
      <c r="AO134" s="96">
        <f t="shared" ref="AO134:AO140" si="207">N134-AN134</f>
        <v>0</v>
      </c>
      <c r="AP134" s="73">
        <f t="shared" ref="AP134:AP140" si="208">IF(AL134&gt;=P134-12,P134-AL134,12)</f>
        <v>0</v>
      </c>
      <c r="AQ134" s="73">
        <f t="shared" ref="AQ134:AQ140" si="209">+AL134+AP134</f>
        <v>48</v>
      </c>
      <c r="AR134" s="96">
        <f t="shared" ref="AR134:AR140" si="210">+AP134*Z134</f>
        <v>0</v>
      </c>
      <c r="AS134" s="96">
        <f t="shared" ref="AS134:AS140" si="211">AN134+AR134</f>
        <v>27045200</v>
      </c>
      <c r="AT134" s="96">
        <f t="shared" ref="AT134:AT140" si="212">N134-AS134</f>
        <v>0</v>
      </c>
      <c r="AU134" s="60"/>
      <c r="AV134" s="202">
        <f t="shared" ref="AV134:AV138" si="213">SUM(AW134:BH134)</f>
        <v>0</v>
      </c>
      <c r="AW134" s="203">
        <f t="shared" ref="AW134:AW140" si="214">+U134*0</f>
        <v>0</v>
      </c>
      <c r="AX134" s="203">
        <f t="shared" ref="AX134:AX140" si="215">+U134*0</f>
        <v>0</v>
      </c>
      <c r="AY134" s="203">
        <f t="shared" ref="AY134:AY140" si="216">+U134*0</f>
        <v>0</v>
      </c>
      <c r="AZ134" s="203">
        <f t="shared" ref="AZ134:AZ140" si="217">+U134*0</f>
        <v>0</v>
      </c>
      <c r="BA134" s="203">
        <f t="shared" ref="BA134:BA140" si="218">+U134*0</f>
        <v>0</v>
      </c>
      <c r="BB134" s="203">
        <f t="shared" ref="BB134:BB140" si="219">+U134*0</f>
        <v>0</v>
      </c>
      <c r="BC134" s="203">
        <f t="shared" ref="BC134:BC140" si="220">+U134*0</f>
        <v>0</v>
      </c>
      <c r="BD134" s="203">
        <f t="shared" ref="BD134:BD140" si="221">+U134*0</f>
        <v>0</v>
      </c>
      <c r="BE134" s="203">
        <f t="shared" ref="BE134:BE140" si="222">+U134*0</f>
        <v>0</v>
      </c>
      <c r="BF134" s="203">
        <f t="shared" ref="BF134:BF140" si="223">+U134*0</f>
        <v>0</v>
      </c>
      <c r="BG134" s="203">
        <f t="shared" ref="BG134:BG140" si="224">+U134*0</f>
        <v>0</v>
      </c>
      <c r="BH134" s="203">
        <f t="shared" ref="BH134:BH140" si="225">+U134*0</f>
        <v>0</v>
      </c>
    </row>
    <row r="135" spans="2:60" x14ac:dyDescent="0.2">
      <c r="B135" s="68"/>
      <c r="C135" s="257">
        <v>43980</v>
      </c>
      <c r="D135" s="258" t="s">
        <v>296</v>
      </c>
      <c r="E135" s="259" t="s">
        <v>301</v>
      </c>
      <c r="F135" s="260"/>
      <c r="G135" s="261">
        <v>0.25</v>
      </c>
      <c r="H135" s="262"/>
      <c r="I135" s="262"/>
      <c r="J135" s="262"/>
      <c r="K135" s="262"/>
      <c r="L135" s="262"/>
      <c r="M135" s="262"/>
      <c r="N135" s="262">
        <v>4706000</v>
      </c>
      <c r="O135" s="263">
        <f t="shared" si="185"/>
        <v>4</v>
      </c>
      <c r="P135" s="260">
        <f t="shared" si="186"/>
        <v>48</v>
      </c>
      <c r="Q135" s="260">
        <f t="shared" si="187"/>
        <v>5</v>
      </c>
      <c r="R135" s="264">
        <f t="shared" si="188"/>
        <v>2020</v>
      </c>
      <c r="S135" s="265">
        <f t="shared" si="189"/>
        <v>4</v>
      </c>
      <c r="T135" s="266">
        <f t="shared" si="190"/>
        <v>2024</v>
      </c>
      <c r="U135" s="267">
        <f t="shared" ref="U135:U138" si="226">N135/P135</f>
        <v>98041.666666666672</v>
      </c>
      <c r="V135" s="73">
        <v>12</v>
      </c>
      <c r="W135" s="73">
        <v>32</v>
      </c>
      <c r="X135" s="96">
        <f t="shared" si="191"/>
        <v>1176500</v>
      </c>
      <c r="Y135" s="96">
        <v>3137333.3333333335</v>
      </c>
      <c r="Z135" s="96">
        <f t="shared" si="192"/>
        <v>1568666.6666666665</v>
      </c>
      <c r="AA135" s="73">
        <f t="shared" si="193"/>
        <v>12</v>
      </c>
      <c r="AB135" s="73">
        <f t="shared" si="194"/>
        <v>44</v>
      </c>
      <c r="AC135" s="96">
        <f t="shared" si="195"/>
        <v>1176500</v>
      </c>
      <c r="AD135" s="96">
        <f t="shared" si="196"/>
        <v>4313833.333333334</v>
      </c>
      <c r="AE135" s="96">
        <f t="shared" si="197"/>
        <v>392166.66666666605</v>
      </c>
      <c r="AF135" s="73">
        <f t="shared" si="198"/>
        <v>4</v>
      </c>
      <c r="AG135" s="73">
        <f t="shared" si="199"/>
        <v>48</v>
      </c>
      <c r="AH135" s="96">
        <f t="shared" si="200"/>
        <v>392166.66666666669</v>
      </c>
      <c r="AI135" s="96">
        <f t="shared" si="201"/>
        <v>4706000.0000000009</v>
      </c>
      <c r="AJ135" s="96">
        <f t="shared" si="202"/>
        <v>0</v>
      </c>
      <c r="AK135" s="73">
        <f t="shared" si="203"/>
        <v>0</v>
      </c>
      <c r="AL135" s="73">
        <f t="shared" si="204"/>
        <v>48</v>
      </c>
      <c r="AM135" s="96">
        <f t="shared" si="205"/>
        <v>0</v>
      </c>
      <c r="AN135" s="96">
        <f t="shared" si="206"/>
        <v>4706000.0000000009</v>
      </c>
      <c r="AO135" s="96">
        <f t="shared" si="207"/>
        <v>0</v>
      </c>
      <c r="AP135" s="73">
        <f t="shared" si="208"/>
        <v>0</v>
      </c>
      <c r="AQ135" s="73">
        <f t="shared" si="209"/>
        <v>48</v>
      </c>
      <c r="AR135" s="96">
        <f t="shared" si="210"/>
        <v>0</v>
      </c>
      <c r="AS135" s="96">
        <f t="shared" si="211"/>
        <v>4706000.0000000009</v>
      </c>
      <c r="AT135" s="96">
        <f t="shared" si="212"/>
        <v>0</v>
      </c>
      <c r="AU135" s="60"/>
      <c r="AV135" s="202">
        <f t="shared" si="213"/>
        <v>0</v>
      </c>
      <c r="AW135" s="203">
        <f t="shared" si="214"/>
        <v>0</v>
      </c>
      <c r="AX135" s="203">
        <f t="shared" si="215"/>
        <v>0</v>
      </c>
      <c r="AY135" s="203">
        <f t="shared" si="216"/>
        <v>0</v>
      </c>
      <c r="AZ135" s="203">
        <f t="shared" si="217"/>
        <v>0</v>
      </c>
      <c r="BA135" s="203">
        <f t="shared" si="218"/>
        <v>0</v>
      </c>
      <c r="BB135" s="203">
        <f t="shared" si="219"/>
        <v>0</v>
      </c>
      <c r="BC135" s="203">
        <f t="shared" si="220"/>
        <v>0</v>
      </c>
      <c r="BD135" s="203">
        <f t="shared" si="221"/>
        <v>0</v>
      </c>
      <c r="BE135" s="203">
        <f t="shared" si="222"/>
        <v>0</v>
      </c>
      <c r="BF135" s="203">
        <f t="shared" si="223"/>
        <v>0</v>
      </c>
      <c r="BG135" s="203">
        <f t="shared" si="224"/>
        <v>0</v>
      </c>
      <c r="BH135" s="203">
        <f t="shared" si="225"/>
        <v>0</v>
      </c>
    </row>
    <row r="136" spans="2:60" x14ac:dyDescent="0.2">
      <c r="B136" s="68"/>
      <c r="C136" s="257">
        <v>43992</v>
      </c>
      <c r="D136" s="258" t="s">
        <v>297</v>
      </c>
      <c r="E136" s="259" t="s">
        <v>302</v>
      </c>
      <c r="F136" s="260"/>
      <c r="G136" s="261">
        <v>0.25</v>
      </c>
      <c r="H136" s="262"/>
      <c r="I136" s="262"/>
      <c r="J136" s="262"/>
      <c r="K136" s="262"/>
      <c r="L136" s="262"/>
      <c r="M136" s="262"/>
      <c r="N136" s="262">
        <v>3900000</v>
      </c>
      <c r="O136" s="263">
        <f t="shared" si="185"/>
        <v>4</v>
      </c>
      <c r="P136" s="260">
        <f t="shared" si="186"/>
        <v>48</v>
      </c>
      <c r="Q136" s="260">
        <f t="shared" si="187"/>
        <v>6</v>
      </c>
      <c r="R136" s="264">
        <f t="shared" si="188"/>
        <v>2020</v>
      </c>
      <c r="S136" s="265">
        <f t="shared" si="189"/>
        <v>5</v>
      </c>
      <c r="T136" s="266">
        <f t="shared" si="190"/>
        <v>2024</v>
      </c>
      <c r="U136" s="267">
        <f t="shared" si="226"/>
        <v>81250</v>
      </c>
      <c r="V136" s="73">
        <v>12</v>
      </c>
      <c r="W136" s="73">
        <v>31</v>
      </c>
      <c r="X136" s="96">
        <f t="shared" si="191"/>
        <v>975000</v>
      </c>
      <c r="Y136" s="96">
        <v>2518750</v>
      </c>
      <c r="Z136" s="96">
        <f t="shared" si="192"/>
        <v>1381250</v>
      </c>
      <c r="AA136" s="73">
        <f t="shared" si="193"/>
        <v>12</v>
      </c>
      <c r="AB136" s="73">
        <f t="shared" si="194"/>
        <v>43</v>
      </c>
      <c r="AC136" s="96">
        <f t="shared" si="195"/>
        <v>975000</v>
      </c>
      <c r="AD136" s="96">
        <f t="shared" si="196"/>
        <v>3493750</v>
      </c>
      <c r="AE136" s="96">
        <f t="shared" si="197"/>
        <v>406250</v>
      </c>
      <c r="AF136" s="73">
        <f t="shared" si="198"/>
        <v>5</v>
      </c>
      <c r="AG136" s="73">
        <f t="shared" si="199"/>
        <v>48</v>
      </c>
      <c r="AH136" s="96">
        <f t="shared" si="200"/>
        <v>406250</v>
      </c>
      <c r="AI136" s="96">
        <f t="shared" si="201"/>
        <v>3900000</v>
      </c>
      <c r="AJ136" s="96">
        <f t="shared" si="202"/>
        <v>0</v>
      </c>
      <c r="AK136" s="73">
        <f t="shared" si="203"/>
        <v>0</v>
      </c>
      <c r="AL136" s="73">
        <f t="shared" si="204"/>
        <v>48</v>
      </c>
      <c r="AM136" s="96">
        <f t="shared" si="205"/>
        <v>0</v>
      </c>
      <c r="AN136" s="96">
        <f t="shared" si="206"/>
        <v>3900000</v>
      </c>
      <c r="AO136" s="96">
        <f t="shared" si="207"/>
        <v>0</v>
      </c>
      <c r="AP136" s="73">
        <f t="shared" si="208"/>
        <v>0</v>
      </c>
      <c r="AQ136" s="73">
        <f t="shared" si="209"/>
        <v>48</v>
      </c>
      <c r="AR136" s="96">
        <f t="shared" si="210"/>
        <v>0</v>
      </c>
      <c r="AS136" s="96">
        <f t="shared" si="211"/>
        <v>3900000</v>
      </c>
      <c r="AT136" s="96">
        <f t="shared" si="212"/>
        <v>0</v>
      </c>
      <c r="AU136" s="60"/>
      <c r="AV136" s="202">
        <f t="shared" si="213"/>
        <v>0</v>
      </c>
      <c r="AW136" s="203">
        <f t="shared" si="214"/>
        <v>0</v>
      </c>
      <c r="AX136" s="203">
        <f t="shared" si="215"/>
        <v>0</v>
      </c>
      <c r="AY136" s="203">
        <f t="shared" si="216"/>
        <v>0</v>
      </c>
      <c r="AZ136" s="203">
        <f t="shared" si="217"/>
        <v>0</v>
      </c>
      <c r="BA136" s="203">
        <f t="shared" si="218"/>
        <v>0</v>
      </c>
      <c r="BB136" s="203">
        <f t="shared" si="219"/>
        <v>0</v>
      </c>
      <c r="BC136" s="203">
        <f t="shared" si="220"/>
        <v>0</v>
      </c>
      <c r="BD136" s="203">
        <f t="shared" si="221"/>
        <v>0</v>
      </c>
      <c r="BE136" s="203">
        <f t="shared" si="222"/>
        <v>0</v>
      </c>
      <c r="BF136" s="203">
        <f t="shared" si="223"/>
        <v>0</v>
      </c>
      <c r="BG136" s="203">
        <f t="shared" si="224"/>
        <v>0</v>
      </c>
      <c r="BH136" s="203">
        <f t="shared" si="225"/>
        <v>0</v>
      </c>
    </row>
    <row r="137" spans="2:60" x14ac:dyDescent="0.2">
      <c r="B137" s="68"/>
      <c r="C137" s="257">
        <v>43993</v>
      </c>
      <c r="D137" s="258" t="s">
        <v>298</v>
      </c>
      <c r="E137" s="259" t="s">
        <v>303</v>
      </c>
      <c r="F137" s="260"/>
      <c r="G137" s="261">
        <v>0.25</v>
      </c>
      <c r="H137" s="262"/>
      <c r="I137" s="262"/>
      <c r="J137" s="262"/>
      <c r="K137" s="262"/>
      <c r="L137" s="262"/>
      <c r="M137" s="262"/>
      <c r="N137" s="262">
        <v>1200000</v>
      </c>
      <c r="O137" s="263">
        <f t="shared" si="185"/>
        <v>4</v>
      </c>
      <c r="P137" s="260">
        <f t="shared" si="186"/>
        <v>48</v>
      </c>
      <c r="Q137" s="260">
        <f t="shared" si="187"/>
        <v>6</v>
      </c>
      <c r="R137" s="264">
        <f t="shared" si="188"/>
        <v>2020</v>
      </c>
      <c r="S137" s="265">
        <f t="shared" si="189"/>
        <v>5</v>
      </c>
      <c r="T137" s="266">
        <f t="shared" si="190"/>
        <v>2024</v>
      </c>
      <c r="U137" s="267">
        <f t="shared" si="226"/>
        <v>25000</v>
      </c>
      <c r="V137" s="73">
        <v>12</v>
      </c>
      <c r="W137" s="73">
        <v>31</v>
      </c>
      <c r="X137" s="96">
        <f t="shared" si="191"/>
        <v>300000</v>
      </c>
      <c r="Y137" s="96">
        <v>775000</v>
      </c>
      <c r="Z137" s="96">
        <f t="shared" si="192"/>
        <v>425000</v>
      </c>
      <c r="AA137" s="73">
        <f t="shared" si="193"/>
        <v>12</v>
      </c>
      <c r="AB137" s="73">
        <f t="shared" si="194"/>
        <v>43</v>
      </c>
      <c r="AC137" s="96">
        <f t="shared" si="195"/>
        <v>300000</v>
      </c>
      <c r="AD137" s="96">
        <f t="shared" si="196"/>
        <v>1075000</v>
      </c>
      <c r="AE137" s="96">
        <f t="shared" si="197"/>
        <v>125000</v>
      </c>
      <c r="AF137" s="73">
        <f t="shared" si="198"/>
        <v>5</v>
      </c>
      <c r="AG137" s="73">
        <f t="shared" si="199"/>
        <v>48</v>
      </c>
      <c r="AH137" s="96">
        <f t="shared" si="200"/>
        <v>125000</v>
      </c>
      <c r="AI137" s="96">
        <f t="shared" si="201"/>
        <v>1200000</v>
      </c>
      <c r="AJ137" s="96">
        <f t="shared" si="202"/>
        <v>0</v>
      </c>
      <c r="AK137" s="73">
        <f t="shared" si="203"/>
        <v>0</v>
      </c>
      <c r="AL137" s="73">
        <f t="shared" si="204"/>
        <v>48</v>
      </c>
      <c r="AM137" s="96">
        <f t="shared" si="205"/>
        <v>0</v>
      </c>
      <c r="AN137" s="96">
        <f t="shared" si="206"/>
        <v>1200000</v>
      </c>
      <c r="AO137" s="96">
        <f t="shared" si="207"/>
        <v>0</v>
      </c>
      <c r="AP137" s="73">
        <f t="shared" si="208"/>
        <v>0</v>
      </c>
      <c r="AQ137" s="73">
        <f t="shared" si="209"/>
        <v>48</v>
      </c>
      <c r="AR137" s="96">
        <f t="shared" si="210"/>
        <v>0</v>
      </c>
      <c r="AS137" s="96">
        <f t="shared" si="211"/>
        <v>1200000</v>
      </c>
      <c r="AT137" s="96">
        <f t="shared" si="212"/>
        <v>0</v>
      </c>
      <c r="AU137" s="60"/>
      <c r="AV137" s="202">
        <f t="shared" si="213"/>
        <v>0</v>
      </c>
      <c r="AW137" s="203">
        <f t="shared" si="214"/>
        <v>0</v>
      </c>
      <c r="AX137" s="203">
        <f t="shared" si="215"/>
        <v>0</v>
      </c>
      <c r="AY137" s="203">
        <f t="shared" si="216"/>
        <v>0</v>
      </c>
      <c r="AZ137" s="203">
        <f t="shared" si="217"/>
        <v>0</v>
      </c>
      <c r="BA137" s="203">
        <f t="shared" si="218"/>
        <v>0</v>
      </c>
      <c r="BB137" s="203">
        <f t="shared" si="219"/>
        <v>0</v>
      </c>
      <c r="BC137" s="203">
        <f t="shared" si="220"/>
        <v>0</v>
      </c>
      <c r="BD137" s="203">
        <f t="shared" si="221"/>
        <v>0</v>
      </c>
      <c r="BE137" s="203">
        <f t="shared" si="222"/>
        <v>0</v>
      </c>
      <c r="BF137" s="203">
        <f t="shared" si="223"/>
        <v>0</v>
      </c>
      <c r="BG137" s="203">
        <f t="shared" si="224"/>
        <v>0</v>
      </c>
      <c r="BH137" s="203">
        <f t="shared" si="225"/>
        <v>0</v>
      </c>
    </row>
    <row r="138" spans="2:60" x14ac:dyDescent="0.2">
      <c r="B138" s="68"/>
      <c r="C138" s="257">
        <v>44002</v>
      </c>
      <c r="D138" s="258" t="s">
        <v>299</v>
      </c>
      <c r="E138" s="259" t="s">
        <v>304</v>
      </c>
      <c r="F138" s="260"/>
      <c r="G138" s="261">
        <v>0.25</v>
      </c>
      <c r="H138" s="262"/>
      <c r="I138" s="262"/>
      <c r="J138" s="262"/>
      <c r="K138" s="262"/>
      <c r="L138" s="262"/>
      <c r="M138" s="262"/>
      <c r="N138" s="262">
        <v>235000</v>
      </c>
      <c r="O138" s="263">
        <f t="shared" si="185"/>
        <v>4</v>
      </c>
      <c r="P138" s="260">
        <f t="shared" si="186"/>
        <v>48</v>
      </c>
      <c r="Q138" s="260">
        <f t="shared" si="187"/>
        <v>6</v>
      </c>
      <c r="R138" s="264">
        <f t="shared" si="188"/>
        <v>2020</v>
      </c>
      <c r="S138" s="265">
        <f t="shared" si="189"/>
        <v>5</v>
      </c>
      <c r="T138" s="266">
        <f t="shared" si="190"/>
        <v>2024</v>
      </c>
      <c r="U138" s="267">
        <f t="shared" si="226"/>
        <v>4895.833333333333</v>
      </c>
      <c r="V138" s="73">
        <v>12</v>
      </c>
      <c r="W138" s="73">
        <v>31</v>
      </c>
      <c r="X138" s="96">
        <f t="shared" si="191"/>
        <v>58750</v>
      </c>
      <c r="Y138" s="96">
        <v>151770.83333333331</v>
      </c>
      <c r="Z138" s="96">
        <f t="shared" si="192"/>
        <v>83229.166666666686</v>
      </c>
      <c r="AA138" s="73">
        <f t="shared" si="193"/>
        <v>12</v>
      </c>
      <c r="AB138" s="73">
        <f t="shared" si="194"/>
        <v>43</v>
      </c>
      <c r="AC138" s="96">
        <f t="shared" si="195"/>
        <v>58750</v>
      </c>
      <c r="AD138" s="96">
        <f t="shared" si="196"/>
        <v>210520.83333333331</v>
      </c>
      <c r="AE138" s="96">
        <f t="shared" si="197"/>
        <v>24479.166666666686</v>
      </c>
      <c r="AF138" s="73">
        <f t="shared" si="198"/>
        <v>5</v>
      </c>
      <c r="AG138" s="73">
        <f t="shared" si="199"/>
        <v>48</v>
      </c>
      <c r="AH138" s="96">
        <f t="shared" si="200"/>
        <v>24479.166666666664</v>
      </c>
      <c r="AI138" s="96">
        <f t="shared" si="201"/>
        <v>234999.99999999997</v>
      </c>
      <c r="AJ138" s="96">
        <f t="shared" si="202"/>
        <v>0</v>
      </c>
      <c r="AK138" s="73">
        <f t="shared" si="203"/>
        <v>0</v>
      </c>
      <c r="AL138" s="73">
        <f t="shared" si="204"/>
        <v>48</v>
      </c>
      <c r="AM138" s="96">
        <f t="shared" si="205"/>
        <v>0</v>
      </c>
      <c r="AN138" s="96">
        <f t="shared" si="206"/>
        <v>234999.99999999997</v>
      </c>
      <c r="AO138" s="96">
        <f t="shared" si="207"/>
        <v>0</v>
      </c>
      <c r="AP138" s="73">
        <f t="shared" si="208"/>
        <v>0</v>
      </c>
      <c r="AQ138" s="73">
        <f t="shared" si="209"/>
        <v>48</v>
      </c>
      <c r="AR138" s="96">
        <f t="shared" si="210"/>
        <v>0</v>
      </c>
      <c r="AS138" s="96">
        <f t="shared" si="211"/>
        <v>234999.99999999997</v>
      </c>
      <c r="AT138" s="96">
        <f t="shared" si="212"/>
        <v>0</v>
      </c>
      <c r="AU138" s="60"/>
      <c r="AV138" s="202">
        <f t="shared" si="213"/>
        <v>0</v>
      </c>
      <c r="AW138" s="203">
        <f t="shared" si="214"/>
        <v>0</v>
      </c>
      <c r="AX138" s="203">
        <f t="shared" si="215"/>
        <v>0</v>
      </c>
      <c r="AY138" s="203">
        <f t="shared" si="216"/>
        <v>0</v>
      </c>
      <c r="AZ138" s="203">
        <f t="shared" si="217"/>
        <v>0</v>
      </c>
      <c r="BA138" s="203">
        <f t="shared" si="218"/>
        <v>0</v>
      </c>
      <c r="BB138" s="203">
        <f t="shared" si="219"/>
        <v>0</v>
      </c>
      <c r="BC138" s="203">
        <f t="shared" si="220"/>
        <v>0</v>
      </c>
      <c r="BD138" s="203">
        <f t="shared" si="221"/>
        <v>0</v>
      </c>
      <c r="BE138" s="203">
        <f t="shared" si="222"/>
        <v>0</v>
      </c>
      <c r="BF138" s="203">
        <f t="shared" si="223"/>
        <v>0</v>
      </c>
      <c r="BG138" s="203">
        <f t="shared" si="224"/>
        <v>0</v>
      </c>
      <c r="BH138" s="203">
        <f t="shared" si="225"/>
        <v>0</v>
      </c>
    </row>
    <row r="139" spans="2:60" x14ac:dyDescent="0.2">
      <c r="B139" s="68"/>
      <c r="C139" s="257">
        <v>44035</v>
      </c>
      <c r="D139" s="258" t="s">
        <v>305</v>
      </c>
      <c r="E139" s="259" t="s">
        <v>307</v>
      </c>
      <c r="F139" s="260"/>
      <c r="G139" s="261">
        <v>0.25</v>
      </c>
      <c r="H139" s="262"/>
      <c r="I139" s="262"/>
      <c r="J139" s="262"/>
      <c r="K139" s="262"/>
      <c r="L139" s="262"/>
      <c r="M139" s="262"/>
      <c r="N139" s="262">
        <v>280000</v>
      </c>
      <c r="O139" s="263">
        <f t="shared" ref="O139:O140" si="227">100%/G139</f>
        <v>4</v>
      </c>
      <c r="P139" s="260">
        <f t="shared" ref="P139:P140" si="228">O139*12</f>
        <v>48</v>
      </c>
      <c r="Q139" s="260">
        <f t="shared" ref="Q139:Q140" si="229">MONTH(C139)</f>
        <v>7</v>
      </c>
      <c r="R139" s="264">
        <f t="shared" ref="R139:R140" si="230">YEAR(C139)</f>
        <v>2020</v>
      </c>
      <c r="S139" s="265">
        <f t="shared" ref="S139:S140" si="231">IF(Q139=1, 12, Q139-1)</f>
        <v>6</v>
      </c>
      <c r="T139" s="266">
        <f t="shared" ref="T139:T140" si="232">IF(Q139=1,R139+O139-1,R139+O139)</f>
        <v>2024</v>
      </c>
      <c r="U139" s="267">
        <f t="shared" ref="U139:U140" si="233">N139/P139</f>
        <v>5833.333333333333</v>
      </c>
      <c r="V139" s="73">
        <v>12</v>
      </c>
      <c r="W139" s="73">
        <v>30</v>
      </c>
      <c r="X139" s="96">
        <f t="shared" si="191"/>
        <v>70000</v>
      </c>
      <c r="Y139" s="96">
        <v>175000</v>
      </c>
      <c r="Z139" s="96">
        <f t="shared" si="192"/>
        <v>105000</v>
      </c>
      <c r="AA139" s="73">
        <f t="shared" si="193"/>
        <v>12</v>
      </c>
      <c r="AB139" s="73">
        <f t="shared" si="194"/>
        <v>42</v>
      </c>
      <c r="AC139" s="96">
        <f t="shared" si="195"/>
        <v>70000</v>
      </c>
      <c r="AD139" s="96">
        <f t="shared" si="196"/>
        <v>245000</v>
      </c>
      <c r="AE139" s="96">
        <f t="shared" si="197"/>
        <v>35000</v>
      </c>
      <c r="AF139" s="73">
        <f t="shared" si="198"/>
        <v>6</v>
      </c>
      <c r="AG139" s="73">
        <f t="shared" si="199"/>
        <v>48</v>
      </c>
      <c r="AH139" s="96">
        <f t="shared" si="200"/>
        <v>35000</v>
      </c>
      <c r="AI139" s="96">
        <f t="shared" si="201"/>
        <v>280000</v>
      </c>
      <c r="AJ139" s="96">
        <f t="shared" si="202"/>
        <v>0</v>
      </c>
      <c r="AK139" s="73">
        <f t="shared" si="203"/>
        <v>0</v>
      </c>
      <c r="AL139" s="73">
        <f t="shared" si="204"/>
        <v>48</v>
      </c>
      <c r="AM139" s="96">
        <f t="shared" si="205"/>
        <v>0</v>
      </c>
      <c r="AN139" s="96">
        <f t="shared" si="206"/>
        <v>280000</v>
      </c>
      <c r="AO139" s="96">
        <f t="shared" si="207"/>
        <v>0</v>
      </c>
      <c r="AP139" s="73">
        <f t="shared" si="208"/>
        <v>0</v>
      </c>
      <c r="AQ139" s="73">
        <f t="shared" si="209"/>
        <v>48</v>
      </c>
      <c r="AR139" s="96">
        <f t="shared" si="210"/>
        <v>0</v>
      </c>
      <c r="AS139" s="96">
        <f t="shared" si="211"/>
        <v>280000</v>
      </c>
      <c r="AT139" s="96">
        <f t="shared" si="212"/>
        <v>0</v>
      </c>
      <c r="AU139" s="60"/>
      <c r="AV139" s="202">
        <f t="shared" ref="AV139:AV140" si="234">SUM(AW139:BH139)</f>
        <v>0</v>
      </c>
      <c r="AW139" s="203">
        <f t="shared" si="214"/>
        <v>0</v>
      </c>
      <c r="AX139" s="203">
        <f t="shared" si="215"/>
        <v>0</v>
      </c>
      <c r="AY139" s="203">
        <f t="shared" si="216"/>
        <v>0</v>
      </c>
      <c r="AZ139" s="203">
        <f t="shared" si="217"/>
        <v>0</v>
      </c>
      <c r="BA139" s="203">
        <f t="shared" si="218"/>
        <v>0</v>
      </c>
      <c r="BB139" s="203">
        <f t="shared" si="219"/>
        <v>0</v>
      </c>
      <c r="BC139" s="203">
        <f t="shared" si="220"/>
        <v>0</v>
      </c>
      <c r="BD139" s="203">
        <f t="shared" si="221"/>
        <v>0</v>
      </c>
      <c r="BE139" s="203">
        <f t="shared" si="222"/>
        <v>0</v>
      </c>
      <c r="BF139" s="203">
        <f t="shared" si="223"/>
        <v>0</v>
      </c>
      <c r="BG139" s="203">
        <f t="shared" si="224"/>
        <v>0</v>
      </c>
      <c r="BH139" s="203">
        <f t="shared" si="225"/>
        <v>0</v>
      </c>
    </row>
    <row r="140" spans="2:60" x14ac:dyDescent="0.2">
      <c r="B140" s="68"/>
      <c r="C140" s="257">
        <v>44040</v>
      </c>
      <c r="D140" s="258" t="s">
        <v>306</v>
      </c>
      <c r="E140" s="259" t="s">
        <v>308</v>
      </c>
      <c r="F140" s="260"/>
      <c r="G140" s="261">
        <v>0.25</v>
      </c>
      <c r="H140" s="262"/>
      <c r="I140" s="262"/>
      <c r="J140" s="262"/>
      <c r="K140" s="262"/>
      <c r="L140" s="262"/>
      <c r="M140" s="262"/>
      <c r="N140" s="262">
        <v>1225900</v>
      </c>
      <c r="O140" s="263">
        <f t="shared" si="227"/>
        <v>4</v>
      </c>
      <c r="P140" s="260">
        <f t="shared" si="228"/>
        <v>48</v>
      </c>
      <c r="Q140" s="260">
        <f t="shared" si="229"/>
        <v>7</v>
      </c>
      <c r="R140" s="264">
        <f t="shared" si="230"/>
        <v>2020</v>
      </c>
      <c r="S140" s="265">
        <f t="shared" si="231"/>
        <v>6</v>
      </c>
      <c r="T140" s="266">
        <f t="shared" si="232"/>
        <v>2024</v>
      </c>
      <c r="U140" s="267">
        <f t="shared" si="233"/>
        <v>25539.583333333332</v>
      </c>
      <c r="V140" s="73">
        <v>12</v>
      </c>
      <c r="W140" s="73">
        <v>30</v>
      </c>
      <c r="X140" s="96">
        <f t="shared" si="191"/>
        <v>306475</v>
      </c>
      <c r="Y140" s="96">
        <v>766187.5</v>
      </c>
      <c r="Z140" s="96">
        <f t="shared" si="192"/>
        <v>459712.5</v>
      </c>
      <c r="AA140" s="73">
        <f t="shared" si="193"/>
        <v>12</v>
      </c>
      <c r="AB140" s="73">
        <f t="shared" si="194"/>
        <v>42</v>
      </c>
      <c r="AC140" s="96">
        <f t="shared" si="195"/>
        <v>306475</v>
      </c>
      <c r="AD140" s="96">
        <f t="shared" si="196"/>
        <v>1072662.5</v>
      </c>
      <c r="AE140" s="96">
        <f t="shared" si="197"/>
        <v>153237.5</v>
      </c>
      <c r="AF140" s="73">
        <f t="shared" si="198"/>
        <v>6</v>
      </c>
      <c r="AG140" s="73">
        <f t="shared" si="199"/>
        <v>48</v>
      </c>
      <c r="AH140" s="96">
        <f t="shared" si="200"/>
        <v>153237.5</v>
      </c>
      <c r="AI140" s="96">
        <f t="shared" si="201"/>
        <v>1225900</v>
      </c>
      <c r="AJ140" s="96">
        <f t="shared" si="202"/>
        <v>0</v>
      </c>
      <c r="AK140" s="73">
        <f t="shared" si="203"/>
        <v>0</v>
      </c>
      <c r="AL140" s="73">
        <f t="shared" si="204"/>
        <v>48</v>
      </c>
      <c r="AM140" s="96">
        <f t="shared" si="205"/>
        <v>0</v>
      </c>
      <c r="AN140" s="96">
        <f t="shared" si="206"/>
        <v>1225900</v>
      </c>
      <c r="AO140" s="96">
        <f t="shared" si="207"/>
        <v>0</v>
      </c>
      <c r="AP140" s="73">
        <f t="shared" si="208"/>
        <v>0</v>
      </c>
      <c r="AQ140" s="73">
        <f t="shared" si="209"/>
        <v>48</v>
      </c>
      <c r="AR140" s="96">
        <f t="shared" si="210"/>
        <v>0</v>
      </c>
      <c r="AS140" s="96">
        <f t="shared" si="211"/>
        <v>1225900</v>
      </c>
      <c r="AT140" s="96">
        <f t="shared" si="212"/>
        <v>0</v>
      </c>
      <c r="AU140" s="60"/>
      <c r="AV140" s="202">
        <f t="shared" si="234"/>
        <v>0</v>
      </c>
      <c r="AW140" s="203">
        <f t="shared" si="214"/>
        <v>0</v>
      </c>
      <c r="AX140" s="203">
        <f t="shared" si="215"/>
        <v>0</v>
      </c>
      <c r="AY140" s="203">
        <f t="shared" si="216"/>
        <v>0</v>
      </c>
      <c r="AZ140" s="203">
        <f t="shared" si="217"/>
        <v>0</v>
      </c>
      <c r="BA140" s="203">
        <f t="shared" si="218"/>
        <v>0</v>
      </c>
      <c r="BB140" s="203">
        <f t="shared" si="219"/>
        <v>0</v>
      </c>
      <c r="BC140" s="203">
        <f t="shared" si="220"/>
        <v>0</v>
      </c>
      <c r="BD140" s="203">
        <f t="shared" si="221"/>
        <v>0</v>
      </c>
      <c r="BE140" s="203">
        <f t="shared" si="222"/>
        <v>0</v>
      </c>
      <c r="BF140" s="203">
        <f t="shared" si="223"/>
        <v>0</v>
      </c>
      <c r="BG140" s="203">
        <f t="shared" si="224"/>
        <v>0</v>
      </c>
      <c r="BH140" s="203">
        <f t="shared" si="225"/>
        <v>0</v>
      </c>
    </row>
    <row r="141" spans="2:60" x14ac:dyDescent="0.2">
      <c r="B141" s="68"/>
      <c r="C141" s="239"/>
      <c r="D141" s="99"/>
      <c r="E141" s="240"/>
      <c r="F141" s="241"/>
      <c r="G141" s="102"/>
      <c r="H141" s="74"/>
      <c r="I141" s="74"/>
      <c r="J141" s="74"/>
      <c r="K141" s="74"/>
      <c r="L141" s="74"/>
      <c r="M141" s="74"/>
      <c r="N141" s="215"/>
      <c r="O141" s="104"/>
      <c r="P141" s="101"/>
      <c r="Q141" s="101"/>
      <c r="R141" s="105"/>
      <c r="S141" s="106"/>
      <c r="T141" s="107"/>
      <c r="U141" s="110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3"/>
      <c r="AU141" s="60"/>
      <c r="AV141" s="224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</row>
    <row r="142" spans="2:60" x14ac:dyDescent="0.2">
      <c r="B142" s="68"/>
      <c r="C142" s="239"/>
      <c r="D142" s="99"/>
      <c r="E142" s="240"/>
      <c r="F142" s="241"/>
      <c r="G142" s="102"/>
      <c r="H142" s="74"/>
      <c r="I142" s="74"/>
      <c r="J142" s="74"/>
      <c r="K142" s="74"/>
      <c r="L142" s="74"/>
      <c r="M142" s="74"/>
      <c r="N142" s="159">
        <f>SUM(N12:N141)</f>
        <v>521898127</v>
      </c>
      <c r="O142" s="104"/>
      <c r="P142" s="101"/>
      <c r="Q142" s="101"/>
      <c r="R142" s="105"/>
      <c r="S142" s="106"/>
      <c r="T142" s="107"/>
      <c r="U142" s="159">
        <f>SUM(U12:U141)</f>
        <v>10872877.645833334</v>
      </c>
      <c r="V142" s="282"/>
      <c r="W142" s="282"/>
      <c r="X142" s="159">
        <f t="shared" ref="X142:Z142" si="235">SUM(X12:X141)</f>
        <v>15061625</v>
      </c>
      <c r="Y142" s="159">
        <f t="shared" si="235"/>
        <v>507130381.16666663</v>
      </c>
      <c r="Z142" s="159">
        <f t="shared" si="235"/>
        <v>14767745.833333334</v>
      </c>
      <c r="AA142" s="282"/>
      <c r="AB142" s="282"/>
      <c r="AC142" s="159">
        <f t="shared" ref="AC142:AE142" si="236">SUM(AC12:AC141)</f>
        <v>11377845.833333334</v>
      </c>
      <c r="AD142" s="159">
        <f t="shared" si="236"/>
        <v>518508226.99999994</v>
      </c>
      <c r="AE142" s="159">
        <f t="shared" si="236"/>
        <v>3389900.0000000005</v>
      </c>
      <c r="AF142" s="282"/>
      <c r="AG142" s="282"/>
      <c r="AH142" s="159">
        <f t="shared" ref="AH142:AJ142" si="237">SUM(AH12:AH141)</f>
        <v>3389899.9999999995</v>
      </c>
      <c r="AI142" s="159">
        <f t="shared" si="237"/>
        <v>521898127</v>
      </c>
      <c r="AJ142" s="159">
        <f t="shared" si="237"/>
        <v>0</v>
      </c>
      <c r="AK142" s="282"/>
      <c r="AL142" s="282"/>
      <c r="AM142" s="159">
        <f t="shared" ref="AM142:AO142" si="238">SUM(AM12:AM141)</f>
        <v>0</v>
      </c>
      <c r="AN142" s="159">
        <f t="shared" si="238"/>
        <v>521898127</v>
      </c>
      <c r="AO142" s="159">
        <f t="shared" si="238"/>
        <v>0</v>
      </c>
      <c r="AP142" s="282"/>
      <c r="AQ142" s="282"/>
      <c r="AR142" s="159">
        <f t="shared" ref="AR142:AT142" si="239">SUM(AR12:AR141)</f>
        <v>0</v>
      </c>
      <c r="AS142" s="159">
        <f t="shared" si="239"/>
        <v>521898127</v>
      </c>
      <c r="AT142" s="159">
        <f t="shared" si="239"/>
        <v>0</v>
      </c>
      <c r="AU142" s="60"/>
      <c r="AV142" s="159">
        <f t="shared" ref="AV142:BH142" si="240">SUM(AV12:AV141)</f>
        <v>0</v>
      </c>
      <c r="AW142" s="159">
        <f t="shared" si="240"/>
        <v>0</v>
      </c>
      <c r="AX142" s="159">
        <f t="shared" si="240"/>
        <v>0</v>
      </c>
      <c r="AY142" s="159">
        <f t="shared" si="240"/>
        <v>0</v>
      </c>
      <c r="AZ142" s="159">
        <f t="shared" si="240"/>
        <v>0</v>
      </c>
      <c r="BA142" s="159">
        <f t="shared" si="240"/>
        <v>0</v>
      </c>
      <c r="BB142" s="159">
        <f t="shared" si="240"/>
        <v>0</v>
      </c>
      <c r="BC142" s="159">
        <f t="shared" si="240"/>
        <v>0</v>
      </c>
      <c r="BD142" s="159">
        <f t="shared" si="240"/>
        <v>0</v>
      </c>
      <c r="BE142" s="159">
        <f t="shared" si="240"/>
        <v>0</v>
      </c>
      <c r="BF142" s="159">
        <f t="shared" si="240"/>
        <v>0</v>
      </c>
      <c r="BG142" s="159">
        <f t="shared" si="240"/>
        <v>0</v>
      </c>
      <c r="BH142" s="159">
        <f t="shared" si="240"/>
        <v>0</v>
      </c>
    </row>
    <row r="143" spans="2:60" x14ac:dyDescent="0.2">
      <c r="B143" s="68"/>
      <c r="C143" s="239"/>
      <c r="D143" s="99"/>
      <c r="E143" s="240"/>
      <c r="F143" s="241"/>
      <c r="G143" s="102"/>
      <c r="H143" s="74"/>
      <c r="I143" s="74"/>
      <c r="J143" s="74"/>
      <c r="K143" s="74"/>
      <c r="L143" s="74"/>
      <c r="M143" s="74"/>
      <c r="N143" s="256"/>
      <c r="O143" s="104"/>
      <c r="P143" s="101"/>
      <c r="Q143" s="101"/>
      <c r="R143" s="105"/>
      <c r="S143" s="106"/>
      <c r="T143" s="107"/>
      <c r="U143" s="110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253"/>
      <c r="AU143" s="60"/>
      <c r="AV143" s="226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</row>
    <row r="144" spans="2:60" x14ac:dyDescent="0.2">
      <c r="B144" s="68"/>
      <c r="C144" s="89">
        <v>44244</v>
      </c>
      <c r="D144" s="268" t="s">
        <v>318</v>
      </c>
      <c r="E144" s="71">
        <v>1</v>
      </c>
      <c r="F144" s="72" t="s">
        <v>319</v>
      </c>
      <c r="G144" s="90">
        <v>0.25</v>
      </c>
      <c r="H144" s="74"/>
      <c r="I144" s="74"/>
      <c r="J144" s="74"/>
      <c r="K144" s="74"/>
      <c r="L144" s="74"/>
      <c r="M144" s="74"/>
      <c r="N144" s="74">
        <v>13300000</v>
      </c>
      <c r="O144" s="91">
        <f t="shared" ref="O144:O146" si="241">100%/G144</f>
        <v>4</v>
      </c>
      <c r="P144" s="72">
        <f t="shared" ref="P144:P146" si="242">O144*12</f>
        <v>48</v>
      </c>
      <c r="Q144" s="72">
        <f t="shared" ref="Q144:Q146" si="243">MONTH(C144)</f>
        <v>2</v>
      </c>
      <c r="R144" s="92">
        <f t="shared" ref="R144:R146" si="244">YEAR(C144)</f>
        <v>2021</v>
      </c>
      <c r="S144" s="269">
        <f t="shared" ref="S144:S146" si="245">IF(Q144=1, 12, Q144-1)</f>
        <v>1</v>
      </c>
      <c r="T144" s="270">
        <f t="shared" ref="T144:T146" si="246">IF(Q144=1,R144+O144-1,R144+O144)</f>
        <v>2025</v>
      </c>
      <c r="U144" s="96">
        <f t="shared" ref="U144:U146" si="247">N144/P144</f>
        <v>277083.33333333331</v>
      </c>
      <c r="V144" s="73">
        <v>12</v>
      </c>
      <c r="W144" s="73">
        <v>23</v>
      </c>
      <c r="X144" s="96">
        <f t="shared" ref="X144:X160" si="248">+V144*U144</f>
        <v>3325000</v>
      </c>
      <c r="Y144" s="96">
        <v>6372916.666666666</v>
      </c>
      <c r="Z144" s="96">
        <f t="shared" ref="Z144:Z160" si="249">N144-Y144</f>
        <v>6927083.333333334</v>
      </c>
      <c r="AA144" s="73">
        <f t="shared" ref="AA144:AA160" si="250">IF(W144&gt;=P144-12,P144-W144,12)</f>
        <v>12</v>
      </c>
      <c r="AB144" s="73">
        <f t="shared" ref="AB144:AB160" si="251">+W144+AA144</f>
        <v>35</v>
      </c>
      <c r="AC144" s="96">
        <f t="shared" ref="AC144:AC160" si="252">+AA144*U144</f>
        <v>3325000</v>
      </c>
      <c r="AD144" s="96">
        <f t="shared" ref="AD144:AD160" si="253">Y144+AC144</f>
        <v>9697916.666666666</v>
      </c>
      <c r="AE144" s="96">
        <f t="shared" ref="AE144:AE160" si="254">N144-AD144</f>
        <v>3602083.333333334</v>
      </c>
      <c r="AF144" s="73">
        <f t="shared" ref="AF144:AF160" si="255">IF(AB144&gt;=P144-12,P144-AB144,12)</f>
        <v>12</v>
      </c>
      <c r="AG144" s="73">
        <f t="shared" ref="AG144:AG160" si="256">+AB144+AF144</f>
        <v>47</v>
      </c>
      <c r="AH144" s="96">
        <f t="shared" ref="AH144:AH160" si="257">+AF144*U144</f>
        <v>3325000</v>
      </c>
      <c r="AI144" s="96">
        <f t="shared" ref="AI144:AI160" si="258">AD144+AH144</f>
        <v>13022916.666666666</v>
      </c>
      <c r="AJ144" s="96">
        <f t="shared" ref="AJ144:AJ160" si="259">N144-AI144</f>
        <v>277083.33333333395</v>
      </c>
      <c r="AK144" s="73">
        <f t="shared" ref="AK144:AK160" si="260">IF(AG144&gt;=P144-12,P144-AG144,12)</f>
        <v>1</v>
      </c>
      <c r="AL144" s="73">
        <f t="shared" ref="AL144:AL160" si="261">+AG144+AK144</f>
        <v>48</v>
      </c>
      <c r="AM144" s="96">
        <f t="shared" ref="AM144:AM160" si="262">+AK144*U144</f>
        <v>277083.33333333331</v>
      </c>
      <c r="AN144" s="96">
        <f t="shared" ref="AN144:AN160" si="263">AI144+AM144</f>
        <v>13300000</v>
      </c>
      <c r="AO144" s="96">
        <f>N144-AN144</f>
        <v>0</v>
      </c>
      <c r="AP144" s="73">
        <f t="shared" ref="AP144:AP160" si="264">IF(AL144&gt;=P144-12,P144-AL144,12)</f>
        <v>0</v>
      </c>
      <c r="AQ144" s="73">
        <f t="shared" ref="AQ144:AQ160" si="265">+AL144+AP144</f>
        <v>48</v>
      </c>
      <c r="AR144" s="96">
        <f t="shared" ref="AR144:AR160" si="266">+AP144*Z144</f>
        <v>0</v>
      </c>
      <c r="AS144" s="96">
        <f t="shared" ref="AS144:AS160" si="267">AN144+AR144</f>
        <v>13300000</v>
      </c>
      <c r="AT144" s="96">
        <f t="shared" ref="AT144:AT160" si="268">N144-AS144</f>
        <v>0</v>
      </c>
      <c r="AU144" s="60"/>
      <c r="AV144" s="202">
        <f t="shared" ref="AV144:AV146" si="269">SUM(AW144:BH144)</f>
        <v>0</v>
      </c>
      <c r="AW144" s="203">
        <f t="shared" ref="AW144:AW160" si="270">+U144*0</f>
        <v>0</v>
      </c>
      <c r="AX144" s="203">
        <f t="shared" ref="AX144:AX160" si="271">+U144*0</f>
        <v>0</v>
      </c>
      <c r="AY144" s="203">
        <f t="shared" ref="AY144:AY160" si="272">+U144*0</f>
        <v>0</v>
      </c>
      <c r="AZ144" s="203">
        <f t="shared" ref="AZ144:AZ160" si="273">+U144*0</f>
        <v>0</v>
      </c>
      <c r="BA144" s="203">
        <f t="shared" ref="BA144:BA160" si="274">+U144*0</f>
        <v>0</v>
      </c>
      <c r="BB144" s="203">
        <f t="shared" ref="BB144:BB160" si="275">+U144*0</f>
        <v>0</v>
      </c>
      <c r="BC144" s="203">
        <f t="shared" ref="BC144:BC160" si="276">+U144*0</f>
        <v>0</v>
      </c>
      <c r="BD144" s="203">
        <f t="shared" ref="BD144:BD160" si="277">+U144*0</f>
        <v>0</v>
      </c>
      <c r="BE144" s="203">
        <f t="shared" ref="BE144:BE160" si="278">+U144*0</f>
        <v>0</v>
      </c>
      <c r="BF144" s="203">
        <f t="shared" ref="BF144:BF160" si="279">+U144*0</f>
        <v>0</v>
      </c>
      <c r="BG144" s="203">
        <f t="shared" ref="BG144:BG160" si="280">+U144*0</f>
        <v>0</v>
      </c>
      <c r="BH144" s="203">
        <f t="shared" ref="BH144:BH160" si="281">+U144*0</f>
        <v>0</v>
      </c>
    </row>
    <row r="145" spans="2:60" x14ac:dyDescent="0.2">
      <c r="B145" s="68"/>
      <c r="C145" s="89">
        <v>44251</v>
      </c>
      <c r="D145" s="70" t="s">
        <v>320</v>
      </c>
      <c r="E145" s="71">
        <v>1</v>
      </c>
      <c r="F145" s="72" t="s">
        <v>322</v>
      </c>
      <c r="G145" s="90">
        <v>0.25</v>
      </c>
      <c r="H145" s="74"/>
      <c r="I145" s="74"/>
      <c r="J145" s="74"/>
      <c r="K145" s="74"/>
      <c r="L145" s="74"/>
      <c r="M145" s="74"/>
      <c r="N145" s="74">
        <v>1996000</v>
      </c>
      <c r="O145" s="91">
        <f t="shared" si="241"/>
        <v>4</v>
      </c>
      <c r="P145" s="72">
        <f t="shared" si="242"/>
        <v>48</v>
      </c>
      <c r="Q145" s="72">
        <f t="shared" si="243"/>
        <v>2</v>
      </c>
      <c r="R145" s="92">
        <f t="shared" si="244"/>
        <v>2021</v>
      </c>
      <c r="S145" s="269">
        <f t="shared" si="245"/>
        <v>1</v>
      </c>
      <c r="T145" s="270">
        <f t="shared" si="246"/>
        <v>2025</v>
      </c>
      <c r="U145" s="96">
        <f t="shared" si="247"/>
        <v>41583.333333333336</v>
      </c>
      <c r="V145" s="73">
        <v>12</v>
      </c>
      <c r="W145" s="73">
        <v>23</v>
      </c>
      <c r="X145" s="96">
        <f t="shared" si="248"/>
        <v>499000</v>
      </c>
      <c r="Y145" s="96">
        <v>956416.66666666674</v>
      </c>
      <c r="Z145" s="96">
        <f t="shared" si="249"/>
        <v>1039583.3333333333</v>
      </c>
      <c r="AA145" s="73">
        <f t="shared" si="250"/>
        <v>12</v>
      </c>
      <c r="AB145" s="73">
        <f t="shared" si="251"/>
        <v>35</v>
      </c>
      <c r="AC145" s="96">
        <f t="shared" si="252"/>
        <v>499000</v>
      </c>
      <c r="AD145" s="96">
        <f t="shared" si="253"/>
        <v>1455416.6666666667</v>
      </c>
      <c r="AE145" s="96">
        <f t="shared" si="254"/>
        <v>540583.33333333326</v>
      </c>
      <c r="AF145" s="73">
        <f t="shared" si="255"/>
        <v>12</v>
      </c>
      <c r="AG145" s="73">
        <f t="shared" si="256"/>
        <v>47</v>
      </c>
      <c r="AH145" s="96">
        <f t="shared" si="257"/>
        <v>499000</v>
      </c>
      <c r="AI145" s="96">
        <f t="shared" si="258"/>
        <v>1954416.6666666667</v>
      </c>
      <c r="AJ145" s="96">
        <f t="shared" si="259"/>
        <v>41583.333333333256</v>
      </c>
      <c r="AK145" s="73">
        <f t="shared" si="260"/>
        <v>1</v>
      </c>
      <c r="AL145" s="73">
        <f t="shared" si="261"/>
        <v>48</v>
      </c>
      <c r="AM145" s="96">
        <f t="shared" si="262"/>
        <v>41583.333333333336</v>
      </c>
      <c r="AN145" s="96">
        <f t="shared" si="263"/>
        <v>1996000</v>
      </c>
      <c r="AO145" s="96">
        <f t="shared" ref="AO145:AO160" si="282">N145-AN145</f>
        <v>0</v>
      </c>
      <c r="AP145" s="73">
        <f t="shared" si="264"/>
        <v>0</v>
      </c>
      <c r="AQ145" s="73">
        <f t="shared" si="265"/>
        <v>48</v>
      </c>
      <c r="AR145" s="96">
        <f t="shared" si="266"/>
        <v>0</v>
      </c>
      <c r="AS145" s="96">
        <f t="shared" si="267"/>
        <v>1996000</v>
      </c>
      <c r="AT145" s="96">
        <f t="shared" si="268"/>
        <v>0</v>
      </c>
      <c r="AU145" s="60"/>
      <c r="AV145" s="202">
        <f t="shared" si="269"/>
        <v>0</v>
      </c>
      <c r="AW145" s="203">
        <f t="shared" si="270"/>
        <v>0</v>
      </c>
      <c r="AX145" s="203">
        <f t="shared" si="271"/>
        <v>0</v>
      </c>
      <c r="AY145" s="203">
        <f t="shared" si="272"/>
        <v>0</v>
      </c>
      <c r="AZ145" s="203">
        <f t="shared" si="273"/>
        <v>0</v>
      </c>
      <c r="BA145" s="203">
        <f t="shared" si="274"/>
        <v>0</v>
      </c>
      <c r="BB145" s="203">
        <f t="shared" si="275"/>
        <v>0</v>
      </c>
      <c r="BC145" s="203">
        <f t="shared" si="276"/>
        <v>0</v>
      </c>
      <c r="BD145" s="203">
        <f t="shared" si="277"/>
        <v>0</v>
      </c>
      <c r="BE145" s="203">
        <f t="shared" si="278"/>
        <v>0</v>
      </c>
      <c r="BF145" s="203">
        <f t="shared" si="279"/>
        <v>0</v>
      </c>
      <c r="BG145" s="203">
        <f t="shared" si="280"/>
        <v>0</v>
      </c>
      <c r="BH145" s="203">
        <f t="shared" si="281"/>
        <v>0</v>
      </c>
    </row>
    <row r="146" spans="2:60" x14ac:dyDescent="0.2">
      <c r="B146" s="68"/>
      <c r="C146" s="89">
        <v>44285</v>
      </c>
      <c r="D146" s="268" t="s">
        <v>321</v>
      </c>
      <c r="E146" s="71">
        <v>1</v>
      </c>
      <c r="F146" s="72" t="s">
        <v>323</v>
      </c>
      <c r="G146" s="90">
        <v>0.25</v>
      </c>
      <c r="H146" s="74"/>
      <c r="I146" s="74"/>
      <c r="J146" s="74"/>
      <c r="K146" s="74"/>
      <c r="L146" s="74"/>
      <c r="M146" s="74"/>
      <c r="N146" s="74">
        <v>625000</v>
      </c>
      <c r="O146" s="91">
        <f t="shared" si="241"/>
        <v>4</v>
      </c>
      <c r="P146" s="72">
        <f t="shared" si="242"/>
        <v>48</v>
      </c>
      <c r="Q146" s="72">
        <f t="shared" si="243"/>
        <v>3</v>
      </c>
      <c r="R146" s="92">
        <f t="shared" si="244"/>
        <v>2021</v>
      </c>
      <c r="S146" s="269">
        <f t="shared" si="245"/>
        <v>2</v>
      </c>
      <c r="T146" s="270">
        <f t="shared" si="246"/>
        <v>2025</v>
      </c>
      <c r="U146" s="96">
        <f t="shared" si="247"/>
        <v>13020.833333333334</v>
      </c>
      <c r="V146" s="73">
        <v>12</v>
      </c>
      <c r="W146" s="73">
        <v>22</v>
      </c>
      <c r="X146" s="96">
        <f t="shared" si="248"/>
        <v>156250</v>
      </c>
      <c r="Y146" s="96">
        <v>286458.33333333337</v>
      </c>
      <c r="Z146" s="96">
        <f t="shared" si="249"/>
        <v>338541.66666666663</v>
      </c>
      <c r="AA146" s="73">
        <f t="shared" si="250"/>
        <v>12</v>
      </c>
      <c r="AB146" s="73">
        <f t="shared" si="251"/>
        <v>34</v>
      </c>
      <c r="AC146" s="96">
        <f t="shared" si="252"/>
        <v>156250</v>
      </c>
      <c r="AD146" s="96">
        <f t="shared" si="253"/>
        <v>442708.33333333337</v>
      </c>
      <c r="AE146" s="96">
        <f t="shared" si="254"/>
        <v>182291.66666666663</v>
      </c>
      <c r="AF146" s="73">
        <f t="shared" si="255"/>
        <v>12</v>
      </c>
      <c r="AG146" s="73">
        <f t="shared" si="256"/>
        <v>46</v>
      </c>
      <c r="AH146" s="96">
        <f t="shared" si="257"/>
        <v>156250</v>
      </c>
      <c r="AI146" s="96">
        <f t="shared" si="258"/>
        <v>598958.33333333337</v>
      </c>
      <c r="AJ146" s="96">
        <f t="shared" si="259"/>
        <v>26041.666666666628</v>
      </c>
      <c r="AK146" s="73">
        <f t="shared" si="260"/>
        <v>2</v>
      </c>
      <c r="AL146" s="73">
        <f t="shared" si="261"/>
        <v>48</v>
      </c>
      <c r="AM146" s="96">
        <f t="shared" si="262"/>
        <v>26041.666666666668</v>
      </c>
      <c r="AN146" s="96">
        <f t="shared" si="263"/>
        <v>625000</v>
      </c>
      <c r="AO146" s="96">
        <f t="shared" si="282"/>
        <v>0</v>
      </c>
      <c r="AP146" s="73">
        <f t="shared" si="264"/>
        <v>0</v>
      </c>
      <c r="AQ146" s="73">
        <f t="shared" si="265"/>
        <v>48</v>
      </c>
      <c r="AR146" s="96">
        <f t="shared" si="266"/>
        <v>0</v>
      </c>
      <c r="AS146" s="96">
        <f t="shared" si="267"/>
        <v>625000</v>
      </c>
      <c r="AT146" s="96">
        <f t="shared" si="268"/>
        <v>0</v>
      </c>
      <c r="AU146" s="60"/>
      <c r="AV146" s="202">
        <f t="shared" si="269"/>
        <v>0</v>
      </c>
      <c r="AW146" s="203">
        <f t="shared" si="270"/>
        <v>0</v>
      </c>
      <c r="AX146" s="203">
        <f t="shared" si="271"/>
        <v>0</v>
      </c>
      <c r="AY146" s="203">
        <f t="shared" si="272"/>
        <v>0</v>
      </c>
      <c r="AZ146" s="203">
        <f t="shared" si="273"/>
        <v>0</v>
      </c>
      <c r="BA146" s="203">
        <f t="shared" si="274"/>
        <v>0</v>
      </c>
      <c r="BB146" s="203">
        <f t="shared" si="275"/>
        <v>0</v>
      </c>
      <c r="BC146" s="203">
        <f t="shared" si="276"/>
        <v>0</v>
      </c>
      <c r="BD146" s="203">
        <f t="shared" si="277"/>
        <v>0</v>
      </c>
      <c r="BE146" s="203">
        <f t="shared" si="278"/>
        <v>0</v>
      </c>
      <c r="BF146" s="203">
        <f t="shared" si="279"/>
        <v>0</v>
      </c>
      <c r="BG146" s="203">
        <f t="shared" si="280"/>
        <v>0</v>
      </c>
      <c r="BH146" s="203">
        <f t="shared" si="281"/>
        <v>0</v>
      </c>
    </row>
    <row r="147" spans="2:60" x14ac:dyDescent="0.2">
      <c r="B147" s="68"/>
      <c r="C147" s="89">
        <v>44326</v>
      </c>
      <c r="D147" s="268" t="s">
        <v>324</v>
      </c>
      <c r="E147" s="71">
        <v>1</v>
      </c>
      <c r="F147" s="72" t="s">
        <v>325</v>
      </c>
      <c r="G147" s="90">
        <v>0.25</v>
      </c>
      <c r="H147" s="74"/>
      <c r="I147" s="74"/>
      <c r="J147" s="74"/>
      <c r="K147" s="74"/>
      <c r="L147" s="74"/>
      <c r="M147" s="74"/>
      <c r="N147" s="74">
        <v>1448000</v>
      </c>
      <c r="O147" s="91">
        <f t="shared" ref="O147" si="283">100%/G147</f>
        <v>4</v>
      </c>
      <c r="P147" s="72">
        <f t="shared" ref="P147" si="284">O147*12</f>
        <v>48</v>
      </c>
      <c r="Q147" s="72">
        <f t="shared" ref="Q147:Q148" si="285">MONTH(C147)</f>
        <v>5</v>
      </c>
      <c r="R147" s="92">
        <f t="shared" ref="R147:R148" si="286">YEAR(C147)</f>
        <v>2021</v>
      </c>
      <c r="S147" s="269">
        <f t="shared" ref="S147:S153" si="287">IF(Q147=1, 12, Q147-1)</f>
        <v>4</v>
      </c>
      <c r="T147" s="270">
        <f t="shared" ref="T147:T153" si="288">IF(Q147=1,R147+O147-1,R147+O147)</f>
        <v>2025</v>
      </c>
      <c r="U147" s="96">
        <f t="shared" ref="U147:U153" si="289">N147/P147</f>
        <v>30166.666666666668</v>
      </c>
      <c r="V147" s="73">
        <v>12</v>
      </c>
      <c r="W147" s="73">
        <v>20</v>
      </c>
      <c r="X147" s="96">
        <f t="shared" si="248"/>
        <v>362000</v>
      </c>
      <c r="Y147" s="96">
        <v>603333.33333333337</v>
      </c>
      <c r="Z147" s="96">
        <f t="shared" si="249"/>
        <v>844666.66666666663</v>
      </c>
      <c r="AA147" s="73">
        <f t="shared" si="250"/>
        <v>12</v>
      </c>
      <c r="AB147" s="73">
        <f t="shared" si="251"/>
        <v>32</v>
      </c>
      <c r="AC147" s="96">
        <f t="shared" si="252"/>
        <v>362000</v>
      </c>
      <c r="AD147" s="96">
        <f t="shared" si="253"/>
        <v>965333.33333333337</v>
      </c>
      <c r="AE147" s="96">
        <f t="shared" si="254"/>
        <v>482666.66666666663</v>
      </c>
      <c r="AF147" s="73">
        <f t="shared" si="255"/>
        <v>12</v>
      </c>
      <c r="AG147" s="73">
        <f t="shared" si="256"/>
        <v>44</v>
      </c>
      <c r="AH147" s="96">
        <f t="shared" si="257"/>
        <v>362000</v>
      </c>
      <c r="AI147" s="96">
        <f t="shared" si="258"/>
        <v>1327333.3333333335</v>
      </c>
      <c r="AJ147" s="96">
        <f t="shared" si="259"/>
        <v>120666.66666666651</v>
      </c>
      <c r="AK147" s="73">
        <f t="shared" si="260"/>
        <v>4</v>
      </c>
      <c r="AL147" s="73">
        <f t="shared" si="261"/>
        <v>48</v>
      </c>
      <c r="AM147" s="96">
        <f t="shared" si="262"/>
        <v>120666.66666666667</v>
      </c>
      <c r="AN147" s="96">
        <f t="shared" si="263"/>
        <v>1448000.0000000002</v>
      </c>
      <c r="AO147" s="96">
        <f t="shared" si="282"/>
        <v>0</v>
      </c>
      <c r="AP147" s="73">
        <f t="shared" si="264"/>
        <v>0</v>
      </c>
      <c r="AQ147" s="73">
        <f t="shared" si="265"/>
        <v>48</v>
      </c>
      <c r="AR147" s="96">
        <f t="shared" si="266"/>
        <v>0</v>
      </c>
      <c r="AS147" s="96">
        <f t="shared" si="267"/>
        <v>1448000.0000000002</v>
      </c>
      <c r="AT147" s="96">
        <f t="shared" si="268"/>
        <v>0</v>
      </c>
      <c r="AU147" s="60"/>
      <c r="AV147" s="202">
        <f t="shared" ref="AV147" si="290">SUM(AW147:BH147)</f>
        <v>0</v>
      </c>
      <c r="AW147" s="203">
        <f t="shared" si="270"/>
        <v>0</v>
      </c>
      <c r="AX147" s="203">
        <f t="shared" si="271"/>
        <v>0</v>
      </c>
      <c r="AY147" s="203">
        <f t="shared" si="272"/>
        <v>0</v>
      </c>
      <c r="AZ147" s="203">
        <f t="shared" si="273"/>
        <v>0</v>
      </c>
      <c r="BA147" s="203">
        <f t="shared" si="274"/>
        <v>0</v>
      </c>
      <c r="BB147" s="203">
        <f t="shared" si="275"/>
        <v>0</v>
      </c>
      <c r="BC147" s="203">
        <f t="shared" si="276"/>
        <v>0</v>
      </c>
      <c r="BD147" s="203">
        <f t="shared" si="277"/>
        <v>0</v>
      </c>
      <c r="BE147" s="203">
        <f t="shared" si="278"/>
        <v>0</v>
      </c>
      <c r="BF147" s="203">
        <f t="shared" si="279"/>
        <v>0</v>
      </c>
      <c r="BG147" s="203">
        <f t="shared" si="280"/>
        <v>0</v>
      </c>
      <c r="BH147" s="203">
        <f t="shared" si="281"/>
        <v>0</v>
      </c>
    </row>
    <row r="148" spans="2:60" x14ac:dyDescent="0.2">
      <c r="B148" s="68"/>
      <c r="C148" s="89">
        <v>44354</v>
      </c>
      <c r="D148" s="268" t="s">
        <v>326</v>
      </c>
      <c r="E148" s="71">
        <v>4</v>
      </c>
      <c r="F148" s="72" t="s">
        <v>328</v>
      </c>
      <c r="G148" s="90">
        <v>0.25</v>
      </c>
      <c r="H148" s="74"/>
      <c r="I148" s="74"/>
      <c r="J148" s="74"/>
      <c r="K148" s="74"/>
      <c r="L148" s="74"/>
      <c r="M148" s="74"/>
      <c r="N148" s="74">
        <v>24900000</v>
      </c>
      <c r="O148" s="91">
        <f t="shared" ref="O148:O153" si="291">100%/G148</f>
        <v>4</v>
      </c>
      <c r="P148" s="72">
        <f t="shared" ref="P148:P153" si="292">O148*12</f>
        <v>48</v>
      </c>
      <c r="Q148" s="72">
        <f t="shared" si="285"/>
        <v>6</v>
      </c>
      <c r="R148" s="92">
        <f t="shared" si="286"/>
        <v>2021</v>
      </c>
      <c r="S148" s="269">
        <f t="shared" si="287"/>
        <v>5</v>
      </c>
      <c r="T148" s="270">
        <f t="shared" si="288"/>
        <v>2025</v>
      </c>
      <c r="U148" s="96">
        <f t="shared" si="289"/>
        <v>518750</v>
      </c>
      <c r="V148" s="73">
        <v>12</v>
      </c>
      <c r="W148" s="73">
        <v>19</v>
      </c>
      <c r="X148" s="96">
        <f t="shared" si="248"/>
        <v>6225000</v>
      </c>
      <c r="Y148" s="96">
        <v>9856250</v>
      </c>
      <c r="Z148" s="96">
        <f t="shared" si="249"/>
        <v>15043750</v>
      </c>
      <c r="AA148" s="73">
        <f t="shared" si="250"/>
        <v>12</v>
      </c>
      <c r="AB148" s="73">
        <f t="shared" si="251"/>
        <v>31</v>
      </c>
      <c r="AC148" s="96">
        <f t="shared" si="252"/>
        <v>6225000</v>
      </c>
      <c r="AD148" s="96">
        <f t="shared" si="253"/>
        <v>16081250</v>
      </c>
      <c r="AE148" s="96">
        <f t="shared" si="254"/>
        <v>8818750</v>
      </c>
      <c r="AF148" s="73">
        <f t="shared" si="255"/>
        <v>12</v>
      </c>
      <c r="AG148" s="73">
        <f t="shared" si="256"/>
        <v>43</v>
      </c>
      <c r="AH148" s="96">
        <f t="shared" si="257"/>
        <v>6225000</v>
      </c>
      <c r="AI148" s="96">
        <f t="shared" si="258"/>
        <v>22306250</v>
      </c>
      <c r="AJ148" s="96">
        <f t="shared" si="259"/>
        <v>2593750</v>
      </c>
      <c r="AK148" s="73">
        <f t="shared" si="260"/>
        <v>5</v>
      </c>
      <c r="AL148" s="73">
        <f t="shared" si="261"/>
        <v>48</v>
      </c>
      <c r="AM148" s="96">
        <f t="shared" si="262"/>
        <v>2593750</v>
      </c>
      <c r="AN148" s="96">
        <f t="shared" si="263"/>
        <v>24900000</v>
      </c>
      <c r="AO148" s="96">
        <f t="shared" si="282"/>
        <v>0</v>
      </c>
      <c r="AP148" s="73">
        <f t="shared" si="264"/>
        <v>0</v>
      </c>
      <c r="AQ148" s="73">
        <f t="shared" si="265"/>
        <v>48</v>
      </c>
      <c r="AR148" s="96">
        <f t="shared" si="266"/>
        <v>0</v>
      </c>
      <c r="AS148" s="96">
        <f t="shared" si="267"/>
        <v>24900000</v>
      </c>
      <c r="AT148" s="96">
        <f t="shared" si="268"/>
        <v>0</v>
      </c>
      <c r="AU148" s="60"/>
      <c r="AV148" s="202">
        <f t="shared" ref="AV148:AV153" si="293">SUM(AW148:BH148)</f>
        <v>0</v>
      </c>
      <c r="AW148" s="203">
        <f t="shared" si="270"/>
        <v>0</v>
      </c>
      <c r="AX148" s="203">
        <f t="shared" si="271"/>
        <v>0</v>
      </c>
      <c r="AY148" s="203">
        <f t="shared" si="272"/>
        <v>0</v>
      </c>
      <c r="AZ148" s="203">
        <f t="shared" si="273"/>
        <v>0</v>
      </c>
      <c r="BA148" s="203">
        <f t="shared" si="274"/>
        <v>0</v>
      </c>
      <c r="BB148" s="203">
        <f t="shared" si="275"/>
        <v>0</v>
      </c>
      <c r="BC148" s="203">
        <f t="shared" si="276"/>
        <v>0</v>
      </c>
      <c r="BD148" s="203">
        <f t="shared" si="277"/>
        <v>0</v>
      </c>
      <c r="BE148" s="203">
        <f t="shared" si="278"/>
        <v>0</v>
      </c>
      <c r="BF148" s="203">
        <f t="shared" si="279"/>
        <v>0</v>
      </c>
      <c r="BG148" s="203">
        <f t="shared" si="280"/>
        <v>0</v>
      </c>
      <c r="BH148" s="203">
        <f t="shared" si="281"/>
        <v>0</v>
      </c>
    </row>
    <row r="149" spans="2:60" x14ac:dyDescent="0.2">
      <c r="B149" s="68"/>
      <c r="C149" s="89">
        <v>44354</v>
      </c>
      <c r="D149" s="268" t="s">
        <v>326</v>
      </c>
      <c r="E149" s="71">
        <v>2</v>
      </c>
      <c r="F149" s="72" t="s">
        <v>329</v>
      </c>
      <c r="G149" s="90">
        <v>0.25</v>
      </c>
      <c r="H149" s="74"/>
      <c r="I149" s="74"/>
      <c r="J149" s="74"/>
      <c r="K149" s="74"/>
      <c r="L149" s="74"/>
      <c r="M149" s="74"/>
      <c r="N149" s="74">
        <v>4300000</v>
      </c>
      <c r="O149" s="91">
        <f t="shared" si="291"/>
        <v>4</v>
      </c>
      <c r="P149" s="72">
        <f t="shared" si="292"/>
        <v>48</v>
      </c>
      <c r="Q149" s="72">
        <f t="shared" ref="Q149:Q153" si="294">MONTH(C149)</f>
        <v>6</v>
      </c>
      <c r="R149" s="92">
        <f t="shared" ref="R149:R153" si="295">YEAR(C149)</f>
        <v>2021</v>
      </c>
      <c r="S149" s="269">
        <f>IF(Q149=1, 12, Q149-1)</f>
        <v>5</v>
      </c>
      <c r="T149" s="270">
        <f t="shared" si="288"/>
        <v>2025</v>
      </c>
      <c r="U149" s="96">
        <f t="shared" si="289"/>
        <v>89583.333333333328</v>
      </c>
      <c r="V149" s="73">
        <v>12</v>
      </c>
      <c r="W149" s="73">
        <v>19</v>
      </c>
      <c r="X149" s="96">
        <f t="shared" si="248"/>
        <v>1075000</v>
      </c>
      <c r="Y149" s="96">
        <v>1702083.3333333333</v>
      </c>
      <c r="Z149" s="96">
        <f t="shared" si="249"/>
        <v>2597916.666666667</v>
      </c>
      <c r="AA149" s="73">
        <f t="shared" si="250"/>
        <v>12</v>
      </c>
      <c r="AB149" s="73">
        <f t="shared" si="251"/>
        <v>31</v>
      </c>
      <c r="AC149" s="96">
        <f t="shared" si="252"/>
        <v>1075000</v>
      </c>
      <c r="AD149" s="96">
        <f t="shared" si="253"/>
        <v>2777083.333333333</v>
      </c>
      <c r="AE149" s="96">
        <f t="shared" si="254"/>
        <v>1522916.666666667</v>
      </c>
      <c r="AF149" s="73">
        <f t="shared" si="255"/>
        <v>12</v>
      </c>
      <c r="AG149" s="73">
        <f t="shared" si="256"/>
        <v>43</v>
      </c>
      <c r="AH149" s="96">
        <f t="shared" si="257"/>
        <v>1075000</v>
      </c>
      <c r="AI149" s="96">
        <f t="shared" si="258"/>
        <v>3852083.333333333</v>
      </c>
      <c r="AJ149" s="96">
        <f t="shared" si="259"/>
        <v>447916.66666666698</v>
      </c>
      <c r="AK149" s="73">
        <f t="shared" si="260"/>
        <v>5</v>
      </c>
      <c r="AL149" s="73">
        <f t="shared" si="261"/>
        <v>48</v>
      </c>
      <c r="AM149" s="96">
        <f t="shared" si="262"/>
        <v>447916.66666666663</v>
      </c>
      <c r="AN149" s="96">
        <f t="shared" si="263"/>
        <v>4300000</v>
      </c>
      <c r="AO149" s="96">
        <f t="shared" si="282"/>
        <v>0</v>
      </c>
      <c r="AP149" s="73">
        <f t="shared" si="264"/>
        <v>0</v>
      </c>
      <c r="AQ149" s="73">
        <f t="shared" si="265"/>
        <v>48</v>
      </c>
      <c r="AR149" s="96">
        <f t="shared" si="266"/>
        <v>0</v>
      </c>
      <c r="AS149" s="96">
        <f t="shared" si="267"/>
        <v>4300000</v>
      </c>
      <c r="AT149" s="96">
        <f t="shared" si="268"/>
        <v>0</v>
      </c>
      <c r="AU149" s="60"/>
      <c r="AV149" s="202">
        <f t="shared" si="293"/>
        <v>0</v>
      </c>
      <c r="AW149" s="203">
        <f t="shared" si="270"/>
        <v>0</v>
      </c>
      <c r="AX149" s="203">
        <f t="shared" si="271"/>
        <v>0</v>
      </c>
      <c r="AY149" s="203">
        <f t="shared" si="272"/>
        <v>0</v>
      </c>
      <c r="AZ149" s="203">
        <f t="shared" si="273"/>
        <v>0</v>
      </c>
      <c r="BA149" s="203">
        <f t="shared" si="274"/>
        <v>0</v>
      </c>
      <c r="BB149" s="203">
        <f t="shared" si="275"/>
        <v>0</v>
      </c>
      <c r="BC149" s="203">
        <f t="shared" si="276"/>
        <v>0</v>
      </c>
      <c r="BD149" s="203">
        <f t="shared" si="277"/>
        <v>0</v>
      </c>
      <c r="BE149" s="203">
        <f t="shared" si="278"/>
        <v>0</v>
      </c>
      <c r="BF149" s="203">
        <f t="shared" si="279"/>
        <v>0</v>
      </c>
      <c r="BG149" s="203">
        <f t="shared" si="280"/>
        <v>0</v>
      </c>
      <c r="BH149" s="203">
        <f t="shared" si="281"/>
        <v>0</v>
      </c>
    </row>
    <row r="150" spans="2:60" x14ac:dyDescent="0.2">
      <c r="B150" s="68"/>
      <c r="C150" s="89">
        <v>44354</v>
      </c>
      <c r="D150" s="268" t="s">
        <v>326</v>
      </c>
      <c r="E150" s="71">
        <v>1</v>
      </c>
      <c r="F150" s="72" t="s">
        <v>330</v>
      </c>
      <c r="G150" s="90">
        <v>0.25</v>
      </c>
      <c r="H150" s="74"/>
      <c r="I150" s="74"/>
      <c r="J150" s="74"/>
      <c r="K150" s="74"/>
      <c r="L150" s="74"/>
      <c r="M150" s="74"/>
      <c r="N150" s="74">
        <v>3105000</v>
      </c>
      <c r="O150" s="91">
        <f t="shared" si="291"/>
        <v>4</v>
      </c>
      <c r="P150" s="72">
        <f t="shared" si="292"/>
        <v>48</v>
      </c>
      <c r="Q150" s="72">
        <f t="shared" si="294"/>
        <v>6</v>
      </c>
      <c r="R150" s="92">
        <f t="shared" si="295"/>
        <v>2021</v>
      </c>
      <c r="S150" s="269">
        <f t="shared" si="287"/>
        <v>5</v>
      </c>
      <c r="T150" s="270">
        <f t="shared" si="288"/>
        <v>2025</v>
      </c>
      <c r="U150" s="96">
        <f t="shared" si="289"/>
        <v>64687.5</v>
      </c>
      <c r="V150" s="73">
        <v>12</v>
      </c>
      <c r="W150" s="73">
        <v>19</v>
      </c>
      <c r="X150" s="96">
        <f t="shared" si="248"/>
        <v>776250</v>
      </c>
      <c r="Y150" s="96">
        <v>1229062.5</v>
      </c>
      <c r="Z150" s="96">
        <f t="shared" si="249"/>
        <v>1875937.5</v>
      </c>
      <c r="AA150" s="73">
        <f t="shared" si="250"/>
        <v>12</v>
      </c>
      <c r="AB150" s="73">
        <f t="shared" si="251"/>
        <v>31</v>
      </c>
      <c r="AC150" s="96">
        <f t="shared" si="252"/>
        <v>776250</v>
      </c>
      <c r="AD150" s="96">
        <f t="shared" si="253"/>
        <v>2005312.5</v>
      </c>
      <c r="AE150" s="96">
        <f t="shared" si="254"/>
        <v>1099687.5</v>
      </c>
      <c r="AF150" s="73">
        <f t="shared" si="255"/>
        <v>12</v>
      </c>
      <c r="AG150" s="73">
        <f t="shared" si="256"/>
        <v>43</v>
      </c>
      <c r="AH150" s="96">
        <f t="shared" si="257"/>
        <v>776250</v>
      </c>
      <c r="AI150" s="96">
        <f t="shared" si="258"/>
        <v>2781562.5</v>
      </c>
      <c r="AJ150" s="96">
        <f t="shared" si="259"/>
        <v>323437.5</v>
      </c>
      <c r="AK150" s="73">
        <f t="shared" si="260"/>
        <v>5</v>
      </c>
      <c r="AL150" s="73">
        <f t="shared" si="261"/>
        <v>48</v>
      </c>
      <c r="AM150" s="96">
        <f t="shared" si="262"/>
        <v>323437.5</v>
      </c>
      <c r="AN150" s="96">
        <f t="shared" si="263"/>
        <v>3105000</v>
      </c>
      <c r="AO150" s="96">
        <f t="shared" si="282"/>
        <v>0</v>
      </c>
      <c r="AP150" s="73">
        <f t="shared" si="264"/>
        <v>0</v>
      </c>
      <c r="AQ150" s="73">
        <f t="shared" si="265"/>
        <v>48</v>
      </c>
      <c r="AR150" s="96">
        <f t="shared" si="266"/>
        <v>0</v>
      </c>
      <c r="AS150" s="96">
        <f t="shared" si="267"/>
        <v>3105000</v>
      </c>
      <c r="AT150" s="96">
        <f t="shared" si="268"/>
        <v>0</v>
      </c>
      <c r="AU150" s="60"/>
      <c r="AV150" s="202">
        <f t="shared" si="293"/>
        <v>0</v>
      </c>
      <c r="AW150" s="203">
        <f t="shared" si="270"/>
        <v>0</v>
      </c>
      <c r="AX150" s="203">
        <f t="shared" si="271"/>
        <v>0</v>
      </c>
      <c r="AY150" s="203">
        <f t="shared" si="272"/>
        <v>0</v>
      </c>
      <c r="AZ150" s="203">
        <f t="shared" si="273"/>
        <v>0</v>
      </c>
      <c r="BA150" s="203">
        <f t="shared" si="274"/>
        <v>0</v>
      </c>
      <c r="BB150" s="203">
        <f t="shared" si="275"/>
        <v>0</v>
      </c>
      <c r="BC150" s="203">
        <f t="shared" si="276"/>
        <v>0</v>
      </c>
      <c r="BD150" s="203">
        <f t="shared" si="277"/>
        <v>0</v>
      </c>
      <c r="BE150" s="203">
        <f t="shared" si="278"/>
        <v>0</v>
      </c>
      <c r="BF150" s="203">
        <f t="shared" si="279"/>
        <v>0</v>
      </c>
      <c r="BG150" s="203">
        <f t="shared" si="280"/>
        <v>0</v>
      </c>
      <c r="BH150" s="203">
        <f t="shared" si="281"/>
        <v>0</v>
      </c>
    </row>
    <row r="151" spans="2:60" x14ac:dyDescent="0.2">
      <c r="B151" s="68"/>
      <c r="C151" s="89">
        <v>44354</v>
      </c>
      <c r="D151" s="268" t="s">
        <v>326</v>
      </c>
      <c r="E151" s="71">
        <v>1</v>
      </c>
      <c r="F151" s="72" t="s">
        <v>331</v>
      </c>
      <c r="G151" s="90">
        <v>0.25</v>
      </c>
      <c r="H151" s="74"/>
      <c r="I151" s="74"/>
      <c r="J151" s="74"/>
      <c r="K151" s="74"/>
      <c r="L151" s="74"/>
      <c r="M151" s="74"/>
      <c r="N151" s="74">
        <v>9980000</v>
      </c>
      <c r="O151" s="91">
        <f t="shared" si="291"/>
        <v>4</v>
      </c>
      <c r="P151" s="72">
        <f t="shared" si="292"/>
        <v>48</v>
      </c>
      <c r="Q151" s="72">
        <f t="shared" si="294"/>
        <v>6</v>
      </c>
      <c r="R151" s="92">
        <f t="shared" si="295"/>
        <v>2021</v>
      </c>
      <c r="S151" s="269">
        <f t="shared" si="287"/>
        <v>5</v>
      </c>
      <c r="T151" s="270">
        <f t="shared" si="288"/>
        <v>2025</v>
      </c>
      <c r="U151" s="96">
        <f t="shared" si="289"/>
        <v>207916.66666666666</v>
      </c>
      <c r="V151" s="73">
        <v>12</v>
      </c>
      <c r="W151" s="73">
        <v>19</v>
      </c>
      <c r="X151" s="96">
        <f t="shared" si="248"/>
        <v>2495000</v>
      </c>
      <c r="Y151" s="96">
        <v>3950416.6666666665</v>
      </c>
      <c r="Z151" s="96">
        <f t="shared" si="249"/>
        <v>6029583.333333334</v>
      </c>
      <c r="AA151" s="73">
        <f t="shared" si="250"/>
        <v>12</v>
      </c>
      <c r="AB151" s="73">
        <f t="shared" si="251"/>
        <v>31</v>
      </c>
      <c r="AC151" s="96">
        <f t="shared" si="252"/>
        <v>2495000</v>
      </c>
      <c r="AD151" s="96">
        <f t="shared" si="253"/>
        <v>6445416.666666666</v>
      </c>
      <c r="AE151" s="96">
        <f t="shared" si="254"/>
        <v>3534583.333333334</v>
      </c>
      <c r="AF151" s="73">
        <f t="shared" si="255"/>
        <v>12</v>
      </c>
      <c r="AG151" s="73">
        <f t="shared" si="256"/>
        <v>43</v>
      </c>
      <c r="AH151" s="96">
        <f t="shared" si="257"/>
        <v>2495000</v>
      </c>
      <c r="AI151" s="96">
        <f t="shared" si="258"/>
        <v>8940416.666666666</v>
      </c>
      <c r="AJ151" s="96">
        <f t="shared" si="259"/>
        <v>1039583.333333334</v>
      </c>
      <c r="AK151" s="73">
        <f t="shared" si="260"/>
        <v>5</v>
      </c>
      <c r="AL151" s="73">
        <f t="shared" si="261"/>
        <v>48</v>
      </c>
      <c r="AM151" s="96">
        <f t="shared" si="262"/>
        <v>1039583.3333333333</v>
      </c>
      <c r="AN151" s="96">
        <f t="shared" si="263"/>
        <v>9980000</v>
      </c>
      <c r="AO151" s="96">
        <f t="shared" si="282"/>
        <v>0</v>
      </c>
      <c r="AP151" s="73">
        <f t="shared" si="264"/>
        <v>0</v>
      </c>
      <c r="AQ151" s="73">
        <f t="shared" si="265"/>
        <v>48</v>
      </c>
      <c r="AR151" s="96">
        <f t="shared" si="266"/>
        <v>0</v>
      </c>
      <c r="AS151" s="96">
        <f t="shared" si="267"/>
        <v>9980000</v>
      </c>
      <c r="AT151" s="96">
        <f t="shared" si="268"/>
        <v>0</v>
      </c>
      <c r="AU151" s="60"/>
      <c r="AV151" s="202">
        <f t="shared" si="293"/>
        <v>0</v>
      </c>
      <c r="AW151" s="203">
        <f t="shared" si="270"/>
        <v>0</v>
      </c>
      <c r="AX151" s="203">
        <f t="shared" si="271"/>
        <v>0</v>
      </c>
      <c r="AY151" s="203">
        <f t="shared" si="272"/>
        <v>0</v>
      </c>
      <c r="AZ151" s="203">
        <f t="shared" si="273"/>
        <v>0</v>
      </c>
      <c r="BA151" s="203">
        <f t="shared" si="274"/>
        <v>0</v>
      </c>
      <c r="BB151" s="203">
        <f t="shared" si="275"/>
        <v>0</v>
      </c>
      <c r="BC151" s="203">
        <f t="shared" si="276"/>
        <v>0</v>
      </c>
      <c r="BD151" s="203">
        <f t="shared" si="277"/>
        <v>0</v>
      </c>
      <c r="BE151" s="203">
        <f t="shared" si="278"/>
        <v>0</v>
      </c>
      <c r="BF151" s="203">
        <f t="shared" si="279"/>
        <v>0</v>
      </c>
      <c r="BG151" s="203">
        <f t="shared" si="280"/>
        <v>0</v>
      </c>
      <c r="BH151" s="203">
        <f t="shared" si="281"/>
        <v>0</v>
      </c>
    </row>
    <row r="152" spans="2:60" x14ac:dyDescent="0.2">
      <c r="B152" s="68"/>
      <c r="C152" s="89">
        <v>44354</v>
      </c>
      <c r="D152" s="268" t="s">
        <v>326</v>
      </c>
      <c r="E152" s="71">
        <v>3</v>
      </c>
      <c r="F152" s="72" t="s">
        <v>333</v>
      </c>
      <c r="G152" s="90">
        <v>0.25</v>
      </c>
      <c r="H152" s="74"/>
      <c r="I152" s="74"/>
      <c r="J152" s="74"/>
      <c r="K152" s="74"/>
      <c r="L152" s="74"/>
      <c r="M152" s="74"/>
      <c r="N152" s="74">
        <v>32550000</v>
      </c>
      <c r="O152" s="91">
        <f t="shared" si="291"/>
        <v>4</v>
      </c>
      <c r="P152" s="72">
        <f t="shared" si="292"/>
        <v>48</v>
      </c>
      <c r="Q152" s="72">
        <f t="shared" si="294"/>
        <v>6</v>
      </c>
      <c r="R152" s="92">
        <f t="shared" si="295"/>
        <v>2021</v>
      </c>
      <c r="S152" s="269">
        <f t="shared" si="287"/>
        <v>5</v>
      </c>
      <c r="T152" s="270">
        <f t="shared" si="288"/>
        <v>2025</v>
      </c>
      <c r="U152" s="96">
        <f t="shared" si="289"/>
        <v>678125</v>
      </c>
      <c r="V152" s="73">
        <v>12</v>
      </c>
      <c r="W152" s="73">
        <v>19</v>
      </c>
      <c r="X152" s="96">
        <f t="shared" si="248"/>
        <v>8137500</v>
      </c>
      <c r="Y152" s="96">
        <v>12884375</v>
      </c>
      <c r="Z152" s="96">
        <f t="shared" si="249"/>
        <v>19665625</v>
      </c>
      <c r="AA152" s="73">
        <f t="shared" si="250"/>
        <v>12</v>
      </c>
      <c r="AB152" s="73">
        <f t="shared" si="251"/>
        <v>31</v>
      </c>
      <c r="AC152" s="96">
        <f t="shared" si="252"/>
        <v>8137500</v>
      </c>
      <c r="AD152" s="96">
        <f t="shared" si="253"/>
        <v>21021875</v>
      </c>
      <c r="AE152" s="96">
        <f t="shared" si="254"/>
        <v>11528125</v>
      </c>
      <c r="AF152" s="73">
        <f t="shared" si="255"/>
        <v>12</v>
      </c>
      <c r="AG152" s="73">
        <f t="shared" si="256"/>
        <v>43</v>
      </c>
      <c r="AH152" s="96">
        <f t="shared" si="257"/>
        <v>8137500</v>
      </c>
      <c r="AI152" s="96">
        <f t="shared" si="258"/>
        <v>29159375</v>
      </c>
      <c r="AJ152" s="96">
        <f t="shared" si="259"/>
        <v>3390625</v>
      </c>
      <c r="AK152" s="73">
        <f t="shared" si="260"/>
        <v>5</v>
      </c>
      <c r="AL152" s="73">
        <f t="shared" si="261"/>
        <v>48</v>
      </c>
      <c r="AM152" s="96">
        <f t="shared" si="262"/>
        <v>3390625</v>
      </c>
      <c r="AN152" s="96">
        <f t="shared" si="263"/>
        <v>32550000</v>
      </c>
      <c r="AO152" s="96">
        <f t="shared" si="282"/>
        <v>0</v>
      </c>
      <c r="AP152" s="73">
        <f t="shared" si="264"/>
        <v>0</v>
      </c>
      <c r="AQ152" s="73">
        <f t="shared" si="265"/>
        <v>48</v>
      </c>
      <c r="AR152" s="96">
        <f t="shared" si="266"/>
        <v>0</v>
      </c>
      <c r="AS152" s="96">
        <f t="shared" si="267"/>
        <v>32550000</v>
      </c>
      <c r="AT152" s="96">
        <f t="shared" si="268"/>
        <v>0</v>
      </c>
      <c r="AU152" s="60"/>
      <c r="AV152" s="202">
        <f t="shared" si="293"/>
        <v>0</v>
      </c>
      <c r="AW152" s="203">
        <f t="shared" si="270"/>
        <v>0</v>
      </c>
      <c r="AX152" s="203">
        <f t="shared" si="271"/>
        <v>0</v>
      </c>
      <c r="AY152" s="203">
        <f t="shared" si="272"/>
        <v>0</v>
      </c>
      <c r="AZ152" s="203">
        <f t="shared" si="273"/>
        <v>0</v>
      </c>
      <c r="BA152" s="203">
        <f t="shared" si="274"/>
        <v>0</v>
      </c>
      <c r="BB152" s="203">
        <f t="shared" si="275"/>
        <v>0</v>
      </c>
      <c r="BC152" s="203">
        <f t="shared" si="276"/>
        <v>0</v>
      </c>
      <c r="BD152" s="203">
        <f t="shared" si="277"/>
        <v>0</v>
      </c>
      <c r="BE152" s="203">
        <f t="shared" si="278"/>
        <v>0</v>
      </c>
      <c r="BF152" s="203">
        <f t="shared" si="279"/>
        <v>0</v>
      </c>
      <c r="BG152" s="203">
        <f t="shared" si="280"/>
        <v>0</v>
      </c>
      <c r="BH152" s="203">
        <f t="shared" si="281"/>
        <v>0</v>
      </c>
    </row>
    <row r="153" spans="2:60" x14ac:dyDescent="0.2">
      <c r="B153" s="68"/>
      <c r="C153" s="89">
        <v>44368</v>
      </c>
      <c r="D153" s="268" t="s">
        <v>327</v>
      </c>
      <c r="E153" s="71">
        <v>1</v>
      </c>
      <c r="F153" s="72" t="s">
        <v>332</v>
      </c>
      <c r="G153" s="90">
        <v>0.25</v>
      </c>
      <c r="H153" s="74"/>
      <c r="I153" s="74"/>
      <c r="J153" s="74"/>
      <c r="K153" s="74"/>
      <c r="L153" s="74"/>
      <c r="M153" s="74"/>
      <c r="N153" s="74">
        <v>11850000</v>
      </c>
      <c r="O153" s="91">
        <f t="shared" si="291"/>
        <v>4</v>
      </c>
      <c r="P153" s="72">
        <f t="shared" si="292"/>
        <v>48</v>
      </c>
      <c r="Q153" s="72">
        <f t="shared" si="294"/>
        <v>6</v>
      </c>
      <c r="R153" s="92">
        <f t="shared" si="295"/>
        <v>2021</v>
      </c>
      <c r="S153" s="269">
        <f t="shared" si="287"/>
        <v>5</v>
      </c>
      <c r="T153" s="270">
        <f t="shared" si="288"/>
        <v>2025</v>
      </c>
      <c r="U153" s="96">
        <f t="shared" si="289"/>
        <v>246875</v>
      </c>
      <c r="V153" s="73">
        <v>12</v>
      </c>
      <c r="W153" s="73">
        <v>19</v>
      </c>
      <c r="X153" s="96">
        <f t="shared" si="248"/>
        <v>2962500</v>
      </c>
      <c r="Y153" s="96">
        <v>4690625</v>
      </c>
      <c r="Z153" s="96">
        <f t="shared" si="249"/>
        <v>7159375</v>
      </c>
      <c r="AA153" s="73">
        <f t="shared" si="250"/>
        <v>12</v>
      </c>
      <c r="AB153" s="73">
        <f t="shared" si="251"/>
        <v>31</v>
      </c>
      <c r="AC153" s="96">
        <f t="shared" si="252"/>
        <v>2962500</v>
      </c>
      <c r="AD153" s="96">
        <f t="shared" si="253"/>
        <v>7653125</v>
      </c>
      <c r="AE153" s="96">
        <f t="shared" si="254"/>
        <v>4196875</v>
      </c>
      <c r="AF153" s="73">
        <f t="shared" si="255"/>
        <v>12</v>
      </c>
      <c r="AG153" s="73">
        <f t="shared" si="256"/>
        <v>43</v>
      </c>
      <c r="AH153" s="96">
        <f t="shared" si="257"/>
        <v>2962500</v>
      </c>
      <c r="AI153" s="96">
        <f t="shared" si="258"/>
        <v>10615625</v>
      </c>
      <c r="AJ153" s="96">
        <f t="shared" si="259"/>
        <v>1234375</v>
      </c>
      <c r="AK153" s="73">
        <f t="shared" si="260"/>
        <v>5</v>
      </c>
      <c r="AL153" s="73">
        <f t="shared" si="261"/>
        <v>48</v>
      </c>
      <c r="AM153" s="96">
        <f t="shared" si="262"/>
        <v>1234375</v>
      </c>
      <c r="AN153" s="96">
        <f t="shared" si="263"/>
        <v>11850000</v>
      </c>
      <c r="AO153" s="96">
        <f t="shared" si="282"/>
        <v>0</v>
      </c>
      <c r="AP153" s="73">
        <f t="shared" si="264"/>
        <v>0</v>
      </c>
      <c r="AQ153" s="73">
        <f t="shared" si="265"/>
        <v>48</v>
      </c>
      <c r="AR153" s="96">
        <f t="shared" si="266"/>
        <v>0</v>
      </c>
      <c r="AS153" s="96">
        <f t="shared" si="267"/>
        <v>11850000</v>
      </c>
      <c r="AT153" s="96">
        <f t="shared" si="268"/>
        <v>0</v>
      </c>
      <c r="AU153" s="60"/>
      <c r="AV153" s="202">
        <f t="shared" si="293"/>
        <v>0</v>
      </c>
      <c r="AW153" s="203">
        <f t="shared" si="270"/>
        <v>0</v>
      </c>
      <c r="AX153" s="203">
        <f t="shared" si="271"/>
        <v>0</v>
      </c>
      <c r="AY153" s="203">
        <f t="shared" si="272"/>
        <v>0</v>
      </c>
      <c r="AZ153" s="203">
        <f t="shared" si="273"/>
        <v>0</v>
      </c>
      <c r="BA153" s="203">
        <f t="shared" si="274"/>
        <v>0</v>
      </c>
      <c r="BB153" s="203">
        <f t="shared" si="275"/>
        <v>0</v>
      </c>
      <c r="BC153" s="203">
        <f t="shared" si="276"/>
        <v>0</v>
      </c>
      <c r="BD153" s="203">
        <f t="shared" si="277"/>
        <v>0</v>
      </c>
      <c r="BE153" s="203">
        <f t="shared" si="278"/>
        <v>0</v>
      </c>
      <c r="BF153" s="203">
        <f t="shared" si="279"/>
        <v>0</v>
      </c>
      <c r="BG153" s="203">
        <f t="shared" si="280"/>
        <v>0</v>
      </c>
      <c r="BH153" s="203">
        <f t="shared" si="281"/>
        <v>0</v>
      </c>
    </row>
    <row r="154" spans="2:60" x14ac:dyDescent="0.2">
      <c r="B154" s="68"/>
      <c r="C154" s="89">
        <v>44412</v>
      </c>
      <c r="D154" s="268" t="s">
        <v>348</v>
      </c>
      <c r="E154" s="71">
        <v>1</v>
      </c>
      <c r="F154" s="72" t="s">
        <v>349</v>
      </c>
      <c r="G154" s="90">
        <v>0.25</v>
      </c>
      <c r="H154" s="74"/>
      <c r="I154" s="74"/>
      <c r="J154" s="74"/>
      <c r="K154" s="74"/>
      <c r="L154" s="74"/>
      <c r="M154" s="74"/>
      <c r="N154" s="74">
        <v>2020000</v>
      </c>
      <c r="O154" s="91">
        <f t="shared" ref="O154:O156" si="296">100%/G154</f>
        <v>4</v>
      </c>
      <c r="P154" s="72">
        <f t="shared" ref="P154:P156" si="297">O154*12</f>
        <v>48</v>
      </c>
      <c r="Q154" s="72">
        <f t="shared" ref="Q154:Q157" si="298">MONTH(C154)</f>
        <v>8</v>
      </c>
      <c r="R154" s="92">
        <f t="shared" ref="R154:R157" si="299">YEAR(C154)</f>
        <v>2021</v>
      </c>
      <c r="S154" s="269">
        <f t="shared" ref="S154:S157" si="300">IF(Q154=1, 12, Q154-1)</f>
        <v>7</v>
      </c>
      <c r="T154" s="270">
        <f t="shared" ref="T154:T156" si="301">IF(Q154=1,R154+O154-1,R154+O154)</f>
        <v>2025</v>
      </c>
      <c r="U154" s="96">
        <f t="shared" ref="U154:U157" si="302">N154/P154</f>
        <v>42083.333333333336</v>
      </c>
      <c r="V154" s="73">
        <v>12</v>
      </c>
      <c r="W154" s="73">
        <v>17</v>
      </c>
      <c r="X154" s="96">
        <f t="shared" si="248"/>
        <v>505000</v>
      </c>
      <c r="Y154" s="96">
        <v>715416.66666666674</v>
      </c>
      <c r="Z154" s="96">
        <f t="shared" si="249"/>
        <v>1304583.3333333333</v>
      </c>
      <c r="AA154" s="73">
        <f t="shared" si="250"/>
        <v>12</v>
      </c>
      <c r="AB154" s="73">
        <f t="shared" si="251"/>
        <v>29</v>
      </c>
      <c r="AC154" s="96">
        <f t="shared" si="252"/>
        <v>505000</v>
      </c>
      <c r="AD154" s="96">
        <f t="shared" si="253"/>
        <v>1220416.6666666667</v>
      </c>
      <c r="AE154" s="96">
        <f t="shared" si="254"/>
        <v>799583.33333333326</v>
      </c>
      <c r="AF154" s="73">
        <f t="shared" si="255"/>
        <v>12</v>
      </c>
      <c r="AG154" s="73">
        <f t="shared" si="256"/>
        <v>41</v>
      </c>
      <c r="AH154" s="96">
        <f t="shared" si="257"/>
        <v>505000</v>
      </c>
      <c r="AI154" s="96">
        <f t="shared" si="258"/>
        <v>1725416.6666666667</v>
      </c>
      <c r="AJ154" s="96">
        <f t="shared" si="259"/>
        <v>294583.33333333326</v>
      </c>
      <c r="AK154" s="73">
        <f t="shared" si="260"/>
        <v>7</v>
      </c>
      <c r="AL154" s="73">
        <f t="shared" si="261"/>
        <v>48</v>
      </c>
      <c r="AM154" s="96">
        <f t="shared" si="262"/>
        <v>294583.33333333337</v>
      </c>
      <c r="AN154" s="96">
        <f t="shared" si="263"/>
        <v>2020000</v>
      </c>
      <c r="AO154" s="96">
        <f t="shared" si="282"/>
        <v>0</v>
      </c>
      <c r="AP154" s="73">
        <f t="shared" si="264"/>
        <v>0</v>
      </c>
      <c r="AQ154" s="73">
        <f t="shared" si="265"/>
        <v>48</v>
      </c>
      <c r="AR154" s="96">
        <f t="shared" si="266"/>
        <v>0</v>
      </c>
      <c r="AS154" s="96">
        <f t="shared" si="267"/>
        <v>2020000</v>
      </c>
      <c r="AT154" s="96">
        <f t="shared" si="268"/>
        <v>0</v>
      </c>
      <c r="AU154" s="60"/>
      <c r="AV154" s="202">
        <f t="shared" ref="AV154:AV156" si="303">SUM(AW154:BH154)</f>
        <v>0</v>
      </c>
      <c r="AW154" s="203">
        <f t="shared" si="270"/>
        <v>0</v>
      </c>
      <c r="AX154" s="203">
        <f t="shared" si="271"/>
        <v>0</v>
      </c>
      <c r="AY154" s="203">
        <f t="shared" si="272"/>
        <v>0</v>
      </c>
      <c r="AZ154" s="203">
        <f t="shared" si="273"/>
        <v>0</v>
      </c>
      <c r="BA154" s="203">
        <f t="shared" si="274"/>
        <v>0</v>
      </c>
      <c r="BB154" s="203">
        <f t="shared" si="275"/>
        <v>0</v>
      </c>
      <c r="BC154" s="203">
        <f t="shared" si="276"/>
        <v>0</v>
      </c>
      <c r="BD154" s="203">
        <f t="shared" si="277"/>
        <v>0</v>
      </c>
      <c r="BE154" s="203">
        <f t="shared" si="278"/>
        <v>0</v>
      </c>
      <c r="BF154" s="203">
        <f t="shared" si="279"/>
        <v>0</v>
      </c>
      <c r="BG154" s="203">
        <f t="shared" si="280"/>
        <v>0</v>
      </c>
      <c r="BH154" s="203">
        <f t="shared" si="281"/>
        <v>0</v>
      </c>
    </row>
    <row r="155" spans="2:60" x14ac:dyDescent="0.2">
      <c r="B155" s="68"/>
      <c r="C155" s="89">
        <v>44446</v>
      </c>
      <c r="D155" s="268" t="s">
        <v>350</v>
      </c>
      <c r="E155" s="71">
        <v>2</v>
      </c>
      <c r="F155" s="72" t="s">
        <v>353</v>
      </c>
      <c r="G155" s="90">
        <v>0.25</v>
      </c>
      <c r="H155" s="74"/>
      <c r="I155" s="74"/>
      <c r="J155" s="74"/>
      <c r="K155" s="74"/>
      <c r="L155" s="74"/>
      <c r="M155" s="74"/>
      <c r="N155" s="74">
        <v>12197000</v>
      </c>
      <c r="O155" s="91">
        <f t="shared" si="296"/>
        <v>4</v>
      </c>
      <c r="P155" s="72">
        <f t="shared" si="297"/>
        <v>48</v>
      </c>
      <c r="Q155" s="72">
        <f t="shared" si="298"/>
        <v>9</v>
      </c>
      <c r="R155" s="92">
        <f t="shared" si="299"/>
        <v>2021</v>
      </c>
      <c r="S155" s="269">
        <f t="shared" si="300"/>
        <v>8</v>
      </c>
      <c r="T155" s="270">
        <f t="shared" si="301"/>
        <v>2025</v>
      </c>
      <c r="U155" s="96">
        <f t="shared" si="302"/>
        <v>254104.16666666666</v>
      </c>
      <c r="V155" s="73">
        <v>12</v>
      </c>
      <c r="W155" s="73">
        <v>16</v>
      </c>
      <c r="X155" s="96">
        <f t="shared" si="248"/>
        <v>3049250</v>
      </c>
      <c r="Y155" s="96">
        <v>4065666.6666666665</v>
      </c>
      <c r="Z155" s="96">
        <f t="shared" si="249"/>
        <v>8131333.333333334</v>
      </c>
      <c r="AA155" s="73">
        <f t="shared" si="250"/>
        <v>12</v>
      </c>
      <c r="AB155" s="73">
        <f t="shared" si="251"/>
        <v>28</v>
      </c>
      <c r="AC155" s="96">
        <f t="shared" si="252"/>
        <v>3049250</v>
      </c>
      <c r="AD155" s="96">
        <f t="shared" si="253"/>
        <v>7114916.666666666</v>
      </c>
      <c r="AE155" s="96">
        <f t="shared" si="254"/>
        <v>5082083.333333334</v>
      </c>
      <c r="AF155" s="73">
        <f t="shared" si="255"/>
        <v>12</v>
      </c>
      <c r="AG155" s="73">
        <f t="shared" si="256"/>
        <v>40</v>
      </c>
      <c r="AH155" s="96">
        <f t="shared" si="257"/>
        <v>3049250</v>
      </c>
      <c r="AI155" s="96">
        <f t="shared" si="258"/>
        <v>10164166.666666666</v>
      </c>
      <c r="AJ155" s="96">
        <f t="shared" si="259"/>
        <v>2032833.333333334</v>
      </c>
      <c r="AK155" s="73">
        <f t="shared" si="260"/>
        <v>8</v>
      </c>
      <c r="AL155" s="73">
        <f t="shared" si="261"/>
        <v>48</v>
      </c>
      <c r="AM155" s="96">
        <f t="shared" si="262"/>
        <v>2032833.3333333333</v>
      </c>
      <c r="AN155" s="96">
        <f t="shared" si="263"/>
        <v>12197000</v>
      </c>
      <c r="AO155" s="96">
        <f t="shared" si="282"/>
        <v>0</v>
      </c>
      <c r="AP155" s="73">
        <f t="shared" si="264"/>
        <v>0</v>
      </c>
      <c r="AQ155" s="73">
        <f t="shared" si="265"/>
        <v>48</v>
      </c>
      <c r="AR155" s="96">
        <f t="shared" si="266"/>
        <v>0</v>
      </c>
      <c r="AS155" s="96">
        <f t="shared" si="267"/>
        <v>12197000</v>
      </c>
      <c r="AT155" s="96">
        <f t="shared" si="268"/>
        <v>0</v>
      </c>
      <c r="AU155" s="60"/>
      <c r="AV155" s="202">
        <f t="shared" si="303"/>
        <v>0</v>
      </c>
      <c r="AW155" s="203">
        <f t="shared" si="270"/>
        <v>0</v>
      </c>
      <c r="AX155" s="203">
        <f t="shared" si="271"/>
        <v>0</v>
      </c>
      <c r="AY155" s="203">
        <f t="shared" si="272"/>
        <v>0</v>
      </c>
      <c r="AZ155" s="203">
        <f t="shared" si="273"/>
        <v>0</v>
      </c>
      <c r="BA155" s="203">
        <f t="shared" si="274"/>
        <v>0</v>
      </c>
      <c r="BB155" s="203">
        <f t="shared" si="275"/>
        <v>0</v>
      </c>
      <c r="BC155" s="203">
        <f t="shared" si="276"/>
        <v>0</v>
      </c>
      <c r="BD155" s="203">
        <f t="shared" si="277"/>
        <v>0</v>
      </c>
      <c r="BE155" s="203">
        <f t="shared" si="278"/>
        <v>0</v>
      </c>
      <c r="BF155" s="203">
        <f t="shared" si="279"/>
        <v>0</v>
      </c>
      <c r="BG155" s="203">
        <f t="shared" si="280"/>
        <v>0</v>
      </c>
      <c r="BH155" s="203">
        <f t="shared" si="281"/>
        <v>0</v>
      </c>
    </row>
    <row r="156" spans="2:60" x14ac:dyDescent="0.2">
      <c r="B156" s="68"/>
      <c r="C156" s="89">
        <v>44456</v>
      </c>
      <c r="D156" s="268" t="s">
        <v>351</v>
      </c>
      <c r="E156" s="71">
        <v>1</v>
      </c>
      <c r="F156" s="72" t="s">
        <v>354</v>
      </c>
      <c r="G156" s="90">
        <v>0.25</v>
      </c>
      <c r="H156" s="74"/>
      <c r="I156" s="74"/>
      <c r="J156" s="74"/>
      <c r="K156" s="74"/>
      <c r="L156" s="74"/>
      <c r="M156" s="74"/>
      <c r="N156" s="74">
        <v>2576100</v>
      </c>
      <c r="O156" s="91">
        <f t="shared" si="296"/>
        <v>4</v>
      </c>
      <c r="P156" s="72">
        <f t="shared" si="297"/>
        <v>48</v>
      </c>
      <c r="Q156" s="72">
        <f t="shared" si="298"/>
        <v>9</v>
      </c>
      <c r="R156" s="92">
        <f t="shared" si="299"/>
        <v>2021</v>
      </c>
      <c r="S156" s="269">
        <f t="shared" si="300"/>
        <v>8</v>
      </c>
      <c r="T156" s="270">
        <f t="shared" si="301"/>
        <v>2025</v>
      </c>
      <c r="U156" s="96">
        <f t="shared" si="302"/>
        <v>53668.75</v>
      </c>
      <c r="V156" s="73">
        <v>12</v>
      </c>
      <c r="W156" s="73">
        <v>16</v>
      </c>
      <c r="X156" s="96">
        <f t="shared" si="248"/>
        <v>644025</v>
      </c>
      <c r="Y156" s="96">
        <v>858700</v>
      </c>
      <c r="Z156" s="96">
        <f t="shared" si="249"/>
        <v>1717400</v>
      </c>
      <c r="AA156" s="73">
        <f t="shared" si="250"/>
        <v>12</v>
      </c>
      <c r="AB156" s="73">
        <f t="shared" si="251"/>
        <v>28</v>
      </c>
      <c r="AC156" s="96">
        <f t="shared" si="252"/>
        <v>644025</v>
      </c>
      <c r="AD156" s="96">
        <f t="shared" si="253"/>
        <v>1502725</v>
      </c>
      <c r="AE156" s="96">
        <f t="shared" si="254"/>
        <v>1073375</v>
      </c>
      <c r="AF156" s="73">
        <f t="shared" si="255"/>
        <v>12</v>
      </c>
      <c r="AG156" s="73">
        <f t="shared" si="256"/>
        <v>40</v>
      </c>
      <c r="AH156" s="96">
        <f t="shared" si="257"/>
        <v>644025</v>
      </c>
      <c r="AI156" s="96">
        <f t="shared" si="258"/>
        <v>2146750</v>
      </c>
      <c r="AJ156" s="96">
        <f t="shared" si="259"/>
        <v>429350</v>
      </c>
      <c r="AK156" s="73">
        <f t="shared" si="260"/>
        <v>8</v>
      </c>
      <c r="AL156" s="73">
        <f t="shared" si="261"/>
        <v>48</v>
      </c>
      <c r="AM156" s="96">
        <f t="shared" si="262"/>
        <v>429350</v>
      </c>
      <c r="AN156" s="96">
        <f t="shared" si="263"/>
        <v>2576100</v>
      </c>
      <c r="AO156" s="96">
        <f t="shared" si="282"/>
        <v>0</v>
      </c>
      <c r="AP156" s="73">
        <f t="shared" si="264"/>
        <v>0</v>
      </c>
      <c r="AQ156" s="73">
        <f t="shared" si="265"/>
        <v>48</v>
      </c>
      <c r="AR156" s="96">
        <f t="shared" si="266"/>
        <v>0</v>
      </c>
      <c r="AS156" s="96">
        <f t="shared" si="267"/>
        <v>2576100</v>
      </c>
      <c r="AT156" s="96">
        <f t="shared" si="268"/>
        <v>0</v>
      </c>
      <c r="AU156" s="60"/>
      <c r="AV156" s="202">
        <f t="shared" si="303"/>
        <v>0</v>
      </c>
      <c r="AW156" s="203">
        <f t="shared" si="270"/>
        <v>0</v>
      </c>
      <c r="AX156" s="203">
        <f t="shared" si="271"/>
        <v>0</v>
      </c>
      <c r="AY156" s="203">
        <f t="shared" si="272"/>
        <v>0</v>
      </c>
      <c r="AZ156" s="203">
        <f t="shared" si="273"/>
        <v>0</v>
      </c>
      <c r="BA156" s="203">
        <f t="shared" si="274"/>
        <v>0</v>
      </c>
      <c r="BB156" s="203">
        <f t="shared" si="275"/>
        <v>0</v>
      </c>
      <c r="BC156" s="203">
        <f t="shared" si="276"/>
        <v>0</v>
      </c>
      <c r="BD156" s="203">
        <f t="shared" si="277"/>
        <v>0</v>
      </c>
      <c r="BE156" s="203">
        <f t="shared" si="278"/>
        <v>0</v>
      </c>
      <c r="BF156" s="203">
        <f t="shared" si="279"/>
        <v>0</v>
      </c>
      <c r="BG156" s="203">
        <f t="shared" si="280"/>
        <v>0</v>
      </c>
      <c r="BH156" s="203">
        <f t="shared" si="281"/>
        <v>0</v>
      </c>
    </row>
    <row r="157" spans="2:60" x14ac:dyDescent="0.2">
      <c r="B157" s="68"/>
      <c r="C157" s="89">
        <v>44459</v>
      </c>
      <c r="D157" s="268" t="s">
        <v>352</v>
      </c>
      <c r="E157" s="71">
        <v>1</v>
      </c>
      <c r="F157" s="72" t="s">
        <v>355</v>
      </c>
      <c r="G157" s="90">
        <v>0.25</v>
      </c>
      <c r="H157" s="74"/>
      <c r="I157" s="74"/>
      <c r="J157" s="74"/>
      <c r="K157" s="74"/>
      <c r="L157" s="74"/>
      <c r="M157" s="74"/>
      <c r="N157" s="74">
        <v>50000000</v>
      </c>
      <c r="O157" s="91">
        <v>4</v>
      </c>
      <c r="P157" s="72">
        <v>48</v>
      </c>
      <c r="Q157" s="72">
        <f t="shared" si="298"/>
        <v>9</v>
      </c>
      <c r="R157" s="92">
        <f t="shared" si="299"/>
        <v>2021</v>
      </c>
      <c r="S157" s="269">
        <f t="shared" si="300"/>
        <v>8</v>
      </c>
      <c r="T157" s="270">
        <f t="shared" ref="T157" si="304">IF(Q157=1,R157+O157-1,R157+O157)</f>
        <v>2025</v>
      </c>
      <c r="U157" s="96">
        <f t="shared" si="302"/>
        <v>1041666.6666666666</v>
      </c>
      <c r="V157" s="73">
        <v>12</v>
      </c>
      <c r="W157" s="73">
        <v>16</v>
      </c>
      <c r="X157" s="96">
        <f t="shared" si="248"/>
        <v>12500000</v>
      </c>
      <c r="Y157" s="96">
        <v>16666666.666666666</v>
      </c>
      <c r="Z157" s="96">
        <f t="shared" si="249"/>
        <v>33333333.333333336</v>
      </c>
      <c r="AA157" s="73">
        <f t="shared" si="250"/>
        <v>12</v>
      </c>
      <c r="AB157" s="73">
        <f t="shared" si="251"/>
        <v>28</v>
      </c>
      <c r="AC157" s="96">
        <f t="shared" si="252"/>
        <v>12500000</v>
      </c>
      <c r="AD157" s="96">
        <f t="shared" si="253"/>
        <v>29166666.666666664</v>
      </c>
      <c r="AE157" s="96">
        <f t="shared" si="254"/>
        <v>20833333.333333336</v>
      </c>
      <c r="AF157" s="73">
        <f t="shared" si="255"/>
        <v>12</v>
      </c>
      <c r="AG157" s="73">
        <f t="shared" si="256"/>
        <v>40</v>
      </c>
      <c r="AH157" s="96">
        <f t="shared" si="257"/>
        <v>12500000</v>
      </c>
      <c r="AI157" s="96">
        <f t="shared" si="258"/>
        <v>41666666.666666664</v>
      </c>
      <c r="AJ157" s="96">
        <f t="shared" si="259"/>
        <v>8333333.3333333358</v>
      </c>
      <c r="AK157" s="73">
        <f t="shared" si="260"/>
        <v>8</v>
      </c>
      <c r="AL157" s="73">
        <f t="shared" si="261"/>
        <v>48</v>
      </c>
      <c r="AM157" s="96">
        <f t="shared" si="262"/>
        <v>8333333.333333333</v>
      </c>
      <c r="AN157" s="96">
        <f t="shared" si="263"/>
        <v>50000000</v>
      </c>
      <c r="AO157" s="96">
        <f t="shared" si="282"/>
        <v>0</v>
      </c>
      <c r="AP157" s="73">
        <f t="shared" si="264"/>
        <v>0</v>
      </c>
      <c r="AQ157" s="73">
        <f t="shared" si="265"/>
        <v>48</v>
      </c>
      <c r="AR157" s="96">
        <f t="shared" si="266"/>
        <v>0</v>
      </c>
      <c r="AS157" s="96">
        <f t="shared" si="267"/>
        <v>50000000</v>
      </c>
      <c r="AT157" s="96">
        <f t="shared" si="268"/>
        <v>0</v>
      </c>
      <c r="AU157" s="60"/>
      <c r="AV157" s="202">
        <f t="shared" ref="AV157" si="305">SUM(AW157:BH157)</f>
        <v>0</v>
      </c>
      <c r="AW157" s="203">
        <f t="shared" si="270"/>
        <v>0</v>
      </c>
      <c r="AX157" s="203">
        <f t="shared" si="271"/>
        <v>0</v>
      </c>
      <c r="AY157" s="203">
        <f t="shared" si="272"/>
        <v>0</v>
      </c>
      <c r="AZ157" s="203">
        <f t="shared" si="273"/>
        <v>0</v>
      </c>
      <c r="BA157" s="203">
        <f t="shared" si="274"/>
        <v>0</v>
      </c>
      <c r="BB157" s="203">
        <f t="shared" si="275"/>
        <v>0</v>
      </c>
      <c r="BC157" s="203">
        <f t="shared" si="276"/>
        <v>0</v>
      </c>
      <c r="BD157" s="203">
        <f t="shared" si="277"/>
        <v>0</v>
      </c>
      <c r="BE157" s="203">
        <f t="shared" si="278"/>
        <v>0</v>
      </c>
      <c r="BF157" s="203">
        <f t="shared" si="279"/>
        <v>0</v>
      </c>
      <c r="BG157" s="203">
        <f t="shared" si="280"/>
        <v>0</v>
      </c>
      <c r="BH157" s="203">
        <f t="shared" si="281"/>
        <v>0</v>
      </c>
    </row>
    <row r="158" spans="2:60" x14ac:dyDescent="0.2">
      <c r="B158" s="68"/>
      <c r="C158" s="89">
        <v>44482</v>
      </c>
      <c r="D158" s="268" t="s">
        <v>356</v>
      </c>
      <c r="E158" s="71">
        <v>1</v>
      </c>
      <c r="F158" s="72" t="s">
        <v>357</v>
      </c>
      <c r="G158" s="90">
        <v>0.25</v>
      </c>
      <c r="H158" s="74"/>
      <c r="I158" s="74"/>
      <c r="J158" s="74"/>
      <c r="K158" s="74"/>
      <c r="L158" s="74"/>
      <c r="M158" s="74"/>
      <c r="N158" s="74">
        <v>50000000</v>
      </c>
      <c r="O158" s="91">
        <v>4</v>
      </c>
      <c r="P158" s="72">
        <v>48</v>
      </c>
      <c r="Q158" s="72">
        <f t="shared" ref="Q158:Q160" si="306">MONTH(C158)</f>
        <v>10</v>
      </c>
      <c r="R158" s="92">
        <f t="shared" ref="R158:R160" si="307">YEAR(C158)</f>
        <v>2021</v>
      </c>
      <c r="S158" s="269">
        <f t="shared" ref="S158:S160" si="308">IF(Q158=1, 12, Q158-1)</f>
        <v>9</v>
      </c>
      <c r="T158" s="270">
        <f t="shared" ref="T158:T159" si="309">IF(Q158=1,R158+O158-1,R158+O158)</f>
        <v>2025</v>
      </c>
      <c r="U158" s="96">
        <f t="shared" ref="U158:U159" si="310">N158/P158</f>
        <v>1041666.6666666666</v>
      </c>
      <c r="V158" s="73">
        <v>12</v>
      </c>
      <c r="W158" s="73">
        <v>15</v>
      </c>
      <c r="X158" s="96">
        <f t="shared" si="248"/>
        <v>12500000</v>
      </c>
      <c r="Y158" s="96">
        <v>15625000</v>
      </c>
      <c r="Z158" s="96">
        <f t="shared" si="249"/>
        <v>34375000</v>
      </c>
      <c r="AA158" s="73">
        <f t="shared" si="250"/>
        <v>12</v>
      </c>
      <c r="AB158" s="73">
        <f t="shared" si="251"/>
        <v>27</v>
      </c>
      <c r="AC158" s="96">
        <f t="shared" si="252"/>
        <v>12500000</v>
      </c>
      <c r="AD158" s="96">
        <f t="shared" si="253"/>
        <v>28125000</v>
      </c>
      <c r="AE158" s="96">
        <f t="shared" si="254"/>
        <v>21875000</v>
      </c>
      <c r="AF158" s="73">
        <f t="shared" si="255"/>
        <v>12</v>
      </c>
      <c r="AG158" s="73">
        <f t="shared" si="256"/>
        <v>39</v>
      </c>
      <c r="AH158" s="96">
        <f t="shared" si="257"/>
        <v>12500000</v>
      </c>
      <c r="AI158" s="96">
        <f t="shared" si="258"/>
        <v>40625000</v>
      </c>
      <c r="AJ158" s="96">
        <f t="shared" si="259"/>
        <v>9375000</v>
      </c>
      <c r="AK158" s="73">
        <f t="shared" si="260"/>
        <v>9</v>
      </c>
      <c r="AL158" s="73">
        <f t="shared" si="261"/>
        <v>48</v>
      </c>
      <c r="AM158" s="96">
        <f t="shared" si="262"/>
        <v>9375000</v>
      </c>
      <c r="AN158" s="96">
        <f t="shared" si="263"/>
        <v>50000000</v>
      </c>
      <c r="AO158" s="96">
        <f t="shared" si="282"/>
        <v>0</v>
      </c>
      <c r="AP158" s="73">
        <f t="shared" si="264"/>
        <v>0</v>
      </c>
      <c r="AQ158" s="73">
        <f t="shared" si="265"/>
        <v>48</v>
      </c>
      <c r="AR158" s="96">
        <f t="shared" si="266"/>
        <v>0</v>
      </c>
      <c r="AS158" s="96">
        <f t="shared" si="267"/>
        <v>50000000</v>
      </c>
      <c r="AT158" s="96">
        <f t="shared" si="268"/>
        <v>0</v>
      </c>
      <c r="AU158" s="60"/>
      <c r="AV158" s="202">
        <f t="shared" ref="AV158:AV159" si="311">SUM(AW158:BH158)</f>
        <v>0</v>
      </c>
      <c r="AW158" s="203">
        <f t="shared" si="270"/>
        <v>0</v>
      </c>
      <c r="AX158" s="203">
        <f t="shared" si="271"/>
        <v>0</v>
      </c>
      <c r="AY158" s="203">
        <f t="shared" si="272"/>
        <v>0</v>
      </c>
      <c r="AZ158" s="203">
        <f t="shared" si="273"/>
        <v>0</v>
      </c>
      <c r="BA158" s="203">
        <f t="shared" si="274"/>
        <v>0</v>
      </c>
      <c r="BB158" s="203">
        <f t="shared" si="275"/>
        <v>0</v>
      </c>
      <c r="BC158" s="203">
        <f t="shared" si="276"/>
        <v>0</v>
      </c>
      <c r="BD158" s="203">
        <f t="shared" si="277"/>
        <v>0</v>
      </c>
      <c r="BE158" s="203">
        <f t="shared" si="278"/>
        <v>0</v>
      </c>
      <c r="BF158" s="203">
        <f t="shared" si="279"/>
        <v>0</v>
      </c>
      <c r="BG158" s="203">
        <f t="shared" si="280"/>
        <v>0</v>
      </c>
      <c r="BH158" s="203">
        <f t="shared" si="281"/>
        <v>0</v>
      </c>
    </row>
    <row r="159" spans="2:60" x14ac:dyDescent="0.2">
      <c r="B159" s="68"/>
      <c r="C159" s="89">
        <v>44530</v>
      </c>
      <c r="D159" s="268" t="s">
        <v>363</v>
      </c>
      <c r="E159" s="71">
        <v>1</v>
      </c>
      <c r="F159" s="72" t="s">
        <v>358</v>
      </c>
      <c r="G159" s="90">
        <v>0.25</v>
      </c>
      <c r="H159" s="74"/>
      <c r="I159" s="74"/>
      <c r="J159" s="74"/>
      <c r="K159" s="74"/>
      <c r="L159" s="74"/>
      <c r="M159" s="74"/>
      <c r="N159" s="74">
        <v>8525000</v>
      </c>
      <c r="O159" s="91">
        <f t="shared" ref="O159" si="312">100%/G159</f>
        <v>4</v>
      </c>
      <c r="P159" s="72">
        <f t="shared" ref="P159" si="313">O159*12</f>
        <v>48</v>
      </c>
      <c r="Q159" s="72">
        <f t="shared" si="306"/>
        <v>11</v>
      </c>
      <c r="R159" s="92">
        <f t="shared" si="307"/>
        <v>2021</v>
      </c>
      <c r="S159" s="269">
        <f t="shared" si="308"/>
        <v>10</v>
      </c>
      <c r="T159" s="270">
        <f t="shared" si="309"/>
        <v>2025</v>
      </c>
      <c r="U159" s="96">
        <f t="shared" si="310"/>
        <v>177604.16666666666</v>
      </c>
      <c r="V159" s="73">
        <v>12</v>
      </c>
      <c r="W159" s="73">
        <v>14</v>
      </c>
      <c r="X159" s="96">
        <f t="shared" si="248"/>
        <v>2131250</v>
      </c>
      <c r="Y159" s="96">
        <v>2486458.3333333335</v>
      </c>
      <c r="Z159" s="96">
        <f t="shared" si="249"/>
        <v>6038541.666666666</v>
      </c>
      <c r="AA159" s="73">
        <f t="shared" si="250"/>
        <v>12</v>
      </c>
      <c r="AB159" s="73">
        <f t="shared" si="251"/>
        <v>26</v>
      </c>
      <c r="AC159" s="96">
        <f t="shared" si="252"/>
        <v>2131250</v>
      </c>
      <c r="AD159" s="96">
        <f t="shared" si="253"/>
        <v>4617708.333333334</v>
      </c>
      <c r="AE159" s="96">
        <f t="shared" si="254"/>
        <v>3907291.666666666</v>
      </c>
      <c r="AF159" s="73">
        <f t="shared" si="255"/>
        <v>12</v>
      </c>
      <c r="AG159" s="73">
        <f t="shared" si="256"/>
        <v>38</v>
      </c>
      <c r="AH159" s="96">
        <f t="shared" si="257"/>
        <v>2131250</v>
      </c>
      <c r="AI159" s="96">
        <f t="shared" si="258"/>
        <v>6748958.333333334</v>
      </c>
      <c r="AJ159" s="96">
        <f t="shared" si="259"/>
        <v>1776041.666666666</v>
      </c>
      <c r="AK159" s="73">
        <f t="shared" si="260"/>
        <v>10</v>
      </c>
      <c r="AL159" s="73">
        <f t="shared" si="261"/>
        <v>48</v>
      </c>
      <c r="AM159" s="96">
        <f t="shared" si="262"/>
        <v>1776041.6666666665</v>
      </c>
      <c r="AN159" s="96">
        <f t="shared" si="263"/>
        <v>8525000</v>
      </c>
      <c r="AO159" s="96">
        <f t="shared" si="282"/>
        <v>0</v>
      </c>
      <c r="AP159" s="73">
        <f t="shared" si="264"/>
        <v>0</v>
      </c>
      <c r="AQ159" s="73">
        <f t="shared" si="265"/>
        <v>48</v>
      </c>
      <c r="AR159" s="96">
        <f t="shared" si="266"/>
        <v>0</v>
      </c>
      <c r="AS159" s="96">
        <f t="shared" si="267"/>
        <v>8525000</v>
      </c>
      <c r="AT159" s="96">
        <f t="shared" si="268"/>
        <v>0</v>
      </c>
      <c r="AU159" s="60"/>
      <c r="AV159" s="202">
        <f t="shared" si="311"/>
        <v>0</v>
      </c>
      <c r="AW159" s="203">
        <f t="shared" si="270"/>
        <v>0</v>
      </c>
      <c r="AX159" s="203">
        <f t="shared" si="271"/>
        <v>0</v>
      </c>
      <c r="AY159" s="203">
        <f t="shared" si="272"/>
        <v>0</v>
      </c>
      <c r="AZ159" s="203">
        <f t="shared" si="273"/>
        <v>0</v>
      </c>
      <c r="BA159" s="203">
        <f t="shared" si="274"/>
        <v>0</v>
      </c>
      <c r="BB159" s="203">
        <f t="shared" si="275"/>
        <v>0</v>
      </c>
      <c r="BC159" s="203">
        <f t="shared" si="276"/>
        <v>0</v>
      </c>
      <c r="BD159" s="203">
        <f t="shared" si="277"/>
        <v>0</v>
      </c>
      <c r="BE159" s="203">
        <f t="shared" si="278"/>
        <v>0</v>
      </c>
      <c r="BF159" s="203">
        <f t="shared" si="279"/>
        <v>0</v>
      </c>
      <c r="BG159" s="203">
        <f t="shared" si="280"/>
        <v>0</v>
      </c>
      <c r="BH159" s="203">
        <f t="shared" si="281"/>
        <v>0</v>
      </c>
    </row>
    <row r="160" spans="2:60" x14ac:dyDescent="0.2">
      <c r="B160" s="68"/>
      <c r="C160" s="89">
        <v>44552</v>
      </c>
      <c r="D160" s="268" t="s">
        <v>365</v>
      </c>
      <c r="E160" s="71">
        <v>1</v>
      </c>
      <c r="F160" s="72" t="s">
        <v>364</v>
      </c>
      <c r="G160" s="90">
        <v>0.25</v>
      </c>
      <c r="H160" s="74"/>
      <c r="I160" s="74"/>
      <c r="J160" s="74"/>
      <c r="K160" s="74"/>
      <c r="L160" s="74"/>
      <c r="M160" s="74"/>
      <c r="N160" s="74">
        <v>2961900</v>
      </c>
      <c r="O160" s="91">
        <f t="shared" ref="O160" si="314">100%/G160</f>
        <v>4</v>
      </c>
      <c r="P160" s="72">
        <f t="shared" ref="P160" si="315">O160*12</f>
        <v>48</v>
      </c>
      <c r="Q160" s="72">
        <f t="shared" si="306"/>
        <v>12</v>
      </c>
      <c r="R160" s="92">
        <f t="shared" si="307"/>
        <v>2021</v>
      </c>
      <c r="S160" s="269">
        <f t="shared" si="308"/>
        <v>11</v>
      </c>
      <c r="T160" s="270">
        <f t="shared" ref="T160" si="316">IF(Q160=1,R160+O160-1,R160+O160)</f>
        <v>2025</v>
      </c>
      <c r="U160" s="96">
        <f t="shared" ref="U160" si="317">N160/P160</f>
        <v>61706.25</v>
      </c>
      <c r="V160" s="73">
        <v>12</v>
      </c>
      <c r="W160" s="73">
        <v>13</v>
      </c>
      <c r="X160" s="96">
        <f t="shared" si="248"/>
        <v>740475</v>
      </c>
      <c r="Y160" s="96">
        <v>802181.25</v>
      </c>
      <c r="Z160" s="96">
        <f t="shared" si="249"/>
        <v>2159718.75</v>
      </c>
      <c r="AA160" s="73">
        <f t="shared" si="250"/>
        <v>12</v>
      </c>
      <c r="AB160" s="73">
        <f t="shared" si="251"/>
        <v>25</v>
      </c>
      <c r="AC160" s="96">
        <f t="shared" si="252"/>
        <v>740475</v>
      </c>
      <c r="AD160" s="96">
        <f t="shared" si="253"/>
        <v>1542656.25</v>
      </c>
      <c r="AE160" s="96">
        <f t="shared" si="254"/>
        <v>1419243.75</v>
      </c>
      <c r="AF160" s="73">
        <f t="shared" si="255"/>
        <v>12</v>
      </c>
      <c r="AG160" s="73">
        <f t="shared" si="256"/>
        <v>37</v>
      </c>
      <c r="AH160" s="96">
        <f t="shared" si="257"/>
        <v>740475</v>
      </c>
      <c r="AI160" s="96">
        <f t="shared" si="258"/>
        <v>2283131.25</v>
      </c>
      <c r="AJ160" s="96">
        <f t="shared" si="259"/>
        <v>678768.75</v>
      </c>
      <c r="AK160" s="73">
        <f t="shared" si="260"/>
        <v>11</v>
      </c>
      <c r="AL160" s="73">
        <f t="shared" si="261"/>
        <v>48</v>
      </c>
      <c r="AM160" s="96">
        <f t="shared" si="262"/>
        <v>678768.75</v>
      </c>
      <c r="AN160" s="96">
        <f t="shared" si="263"/>
        <v>2961900</v>
      </c>
      <c r="AO160" s="96">
        <f t="shared" si="282"/>
        <v>0</v>
      </c>
      <c r="AP160" s="73">
        <f t="shared" si="264"/>
        <v>0</v>
      </c>
      <c r="AQ160" s="73">
        <f t="shared" si="265"/>
        <v>48</v>
      </c>
      <c r="AR160" s="96">
        <f t="shared" si="266"/>
        <v>0</v>
      </c>
      <c r="AS160" s="96">
        <f t="shared" si="267"/>
        <v>2961900</v>
      </c>
      <c r="AT160" s="96">
        <f t="shared" si="268"/>
        <v>0</v>
      </c>
      <c r="AU160" s="60"/>
      <c r="AV160" s="202">
        <f t="shared" ref="AV160" si="318">SUM(AW160:BH160)</f>
        <v>0</v>
      </c>
      <c r="AW160" s="203">
        <f t="shared" si="270"/>
        <v>0</v>
      </c>
      <c r="AX160" s="203">
        <f t="shared" si="271"/>
        <v>0</v>
      </c>
      <c r="AY160" s="203">
        <f t="shared" si="272"/>
        <v>0</v>
      </c>
      <c r="AZ160" s="203">
        <f t="shared" si="273"/>
        <v>0</v>
      </c>
      <c r="BA160" s="203">
        <f t="shared" si="274"/>
        <v>0</v>
      </c>
      <c r="BB160" s="203">
        <f t="shared" si="275"/>
        <v>0</v>
      </c>
      <c r="BC160" s="203">
        <f t="shared" si="276"/>
        <v>0</v>
      </c>
      <c r="BD160" s="203">
        <f t="shared" si="277"/>
        <v>0</v>
      </c>
      <c r="BE160" s="203">
        <f t="shared" si="278"/>
        <v>0</v>
      </c>
      <c r="BF160" s="203">
        <f t="shared" si="279"/>
        <v>0</v>
      </c>
      <c r="BG160" s="203">
        <f t="shared" si="280"/>
        <v>0</v>
      </c>
      <c r="BH160" s="203">
        <f t="shared" si="281"/>
        <v>0</v>
      </c>
    </row>
    <row r="161" spans="2:60" x14ac:dyDescent="0.2">
      <c r="B161" s="68"/>
      <c r="C161" s="89"/>
      <c r="D161" s="70"/>
      <c r="E161" s="71"/>
      <c r="F161" s="72"/>
      <c r="G161" s="90"/>
      <c r="H161" s="74"/>
      <c r="I161" s="74"/>
      <c r="J161" s="74"/>
      <c r="K161" s="74"/>
      <c r="L161" s="74"/>
      <c r="M161" s="74"/>
      <c r="N161" s="146"/>
      <c r="O161" s="91"/>
      <c r="P161" s="72"/>
      <c r="Q161" s="72"/>
      <c r="R161" s="92"/>
      <c r="S161" s="269"/>
      <c r="T161" s="270"/>
      <c r="U161" s="96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3"/>
      <c r="AQ161" s="253"/>
      <c r="AR161" s="253"/>
      <c r="AS161" s="253"/>
      <c r="AT161" s="253"/>
      <c r="AU161" s="60"/>
      <c r="AV161" s="196"/>
    </row>
    <row r="162" spans="2:60" x14ac:dyDescent="0.2">
      <c r="B162" s="68"/>
      <c r="C162" s="89"/>
      <c r="D162" s="70"/>
      <c r="E162" s="71"/>
      <c r="F162" s="72"/>
      <c r="G162" s="90"/>
      <c r="H162" s="74"/>
      <c r="I162" s="74"/>
      <c r="J162" s="74"/>
      <c r="K162" s="74"/>
      <c r="L162" s="74"/>
      <c r="M162" s="74"/>
      <c r="N162" s="159">
        <f>SUM(N144:N161)</f>
        <v>232334000</v>
      </c>
      <c r="O162" s="91"/>
      <c r="P162" s="72"/>
      <c r="Q162" s="72"/>
      <c r="R162" s="92"/>
      <c r="S162" s="93"/>
      <c r="T162" s="94"/>
      <c r="U162" s="159">
        <f>SUM(U144:U161)</f>
        <v>4840291.666666667</v>
      </c>
      <c r="V162" s="282"/>
      <c r="W162" s="282"/>
      <c r="X162" s="159">
        <f>SUM(X144:X161)</f>
        <v>58083500</v>
      </c>
      <c r="Y162" s="159">
        <f>SUM(Y144:Y161)</f>
        <v>83752027.083333328</v>
      </c>
      <c r="Z162" s="159">
        <f>SUM(Z144:Z161)</f>
        <v>148581972.91666666</v>
      </c>
      <c r="AA162" s="282"/>
      <c r="AB162" s="282"/>
      <c r="AC162" s="159">
        <f>SUM(AC144:AC161)</f>
        <v>58083500</v>
      </c>
      <c r="AD162" s="159">
        <f>SUM(AD144:AD161)</f>
        <v>141835527.08333334</v>
      </c>
      <c r="AE162" s="159">
        <f>SUM(AE144:AE161)</f>
        <v>90498472.916666672</v>
      </c>
      <c r="AF162" s="282"/>
      <c r="AG162" s="282"/>
      <c r="AH162" s="159">
        <f>SUM(AH144:AH161)</f>
        <v>58083500</v>
      </c>
      <c r="AI162" s="159">
        <f>SUM(AI144:AI161)</f>
        <v>199919027.08333334</v>
      </c>
      <c r="AJ162" s="159">
        <f>SUM(AJ144:AJ161)</f>
        <v>32414972.916666672</v>
      </c>
      <c r="AK162" s="282"/>
      <c r="AL162" s="282"/>
      <c r="AM162" s="159">
        <f t="shared" ref="AM162:AO162" si="319">SUM(AM144:AM161)</f>
        <v>32414972.916666668</v>
      </c>
      <c r="AN162" s="159">
        <f t="shared" si="319"/>
        <v>232334000</v>
      </c>
      <c r="AO162" s="159">
        <f t="shared" si="319"/>
        <v>0</v>
      </c>
      <c r="AP162" s="282"/>
      <c r="AQ162" s="282"/>
      <c r="AR162" s="159">
        <f t="shared" ref="AR162:AT162" si="320">SUM(AR144:AR161)</f>
        <v>0</v>
      </c>
      <c r="AS162" s="159">
        <f t="shared" si="320"/>
        <v>232334000</v>
      </c>
      <c r="AT162" s="159">
        <f t="shared" si="320"/>
        <v>0</v>
      </c>
      <c r="AU162" s="60"/>
      <c r="AV162" s="159">
        <f t="shared" ref="AV162:BH162" si="321">SUM(AV144:AV161)</f>
        <v>0</v>
      </c>
      <c r="AW162" s="159">
        <f t="shared" si="321"/>
        <v>0</v>
      </c>
      <c r="AX162" s="159">
        <f t="shared" si="321"/>
        <v>0</v>
      </c>
      <c r="AY162" s="159">
        <f t="shared" si="321"/>
        <v>0</v>
      </c>
      <c r="AZ162" s="159">
        <f t="shared" si="321"/>
        <v>0</v>
      </c>
      <c r="BA162" s="159">
        <f t="shared" si="321"/>
        <v>0</v>
      </c>
      <c r="BB162" s="159">
        <f t="shared" si="321"/>
        <v>0</v>
      </c>
      <c r="BC162" s="159">
        <f t="shared" si="321"/>
        <v>0</v>
      </c>
      <c r="BD162" s="159">
        <f t="shared" si="321"/>
        <v>0</v>
      </c>
      <c r="BE162" s="159">
        <f t="shared" si="321"/>
        <v>0</v>
      </c>
      <c r="BF162" s="159">
        <f t="shared" si="321"/>
        <v>0</v>
      </c>
      <c r="BG162" s="159">
        <f t="shared" si="321"/>
        <v>0</v>
      </c>
      <c r="BH162" s="159">
        <f t="shared" si="321"/>
        <v>0</v>
      </c>
    </row>
    <row r="163" spans="2:60" x14ac:dyDescent="0.2">
      <c r="B163" s="68"/>
      <c r="C163" s="89"/>
      <c r="D163" s="70"/>
      <c r="E163" s="71"/>
      <c r="F163" s="72"/>
      <c r="G163" s="90"/>
      <c r="H163" s="74"/>
      <c r="I163" s="74"/>
      <c r="J163" s="74"/>
      <c r="K163" s="74"/>
      <c r="L163" s="74"/>
      <c r="M163" s="74"/>
      <c r="N163" s="252"/>
      <c r="O163" s="91"/>
      <c r="P163" s="72"/>
      <c r="Q163" s="72"/>
      <c r="R163" s="92"/>
      <c r="S163" s="93"/>
      <c r="T163" s="94"/>
      <c r="U163" s="96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2"/>
      <c r="AL163" s="252"/>
      <c r="AM163" s="252"/>
      <c r="AN163" s="252"/>
      <c r="AO163" s="252"/>
      <c r="AP163" s="252"/>
      <c r="AQ163" s="252"/>
      <c r="AR163" s="252"/>
      <c r="AS163" s="252"/>
      <c r="AT163" s="252"/>
      <c r="AU163" s="60"/>
      <c r="AV163" s="325"/>
      <c r="AW163" s="252"/>
      <c r="AX163" s="252"/>
      <c r="AY163" s="252"/>
      <c r="AZ163" s="252"/>
      <c r="BA163" s="252"/>
      <c r="BB163" s="252"/>
      <c r="BC163" s="252"/>
      <c r="BD163" s="252"/>
      <c r="BE163" s="252"/>
      <c r="BF163" s="252"/>
      <c r="BG163" s="252"/>
      <c r="BH163" s="252"/>
    </row>
    <row r="164" spans="2:60" x14ac:dyDescent="0.2">
      <c r="B164" s="68"/>
      <c r="C164" s="89">
        <v>44575</v>
      </c>
      <c r="D164" s="268" t="s">
        <v>366</v>
      </c>
      <c r="E164" s="71">
        <v>2</v>
      </c>
      <c r="F164" s="72" t="s">
        <v>367</v>
      </c>
      <c r="G164" s="90">
        <v>0.25</v>
      </c>
      <c r="H164" s="74"/>
      <c r="I164" s="74"/>
      <c r="J164" s="74"/>
      <c r="K164" s="74"/>
      <c r="L164" s="74"/>
      <c r="M164" s="74"/>
      <c r="N164" s="74">
        <v>12100000</v>
      </c>
      <c r="O164" s="91">
        <f t="shared" ref="O164" si="322">100%/G164</f>
        <v>4</v>
      </c>
      <c r="P164" s="72">
        <f t="shared" ref="P164" si="323">O164*12</f>
        <v>48</v>
      </c>
      <c r="Q164" s="72">
        <f t="shared" ref="Q164" si="324">MONTH(C164)</f>
        <v>1</v>
      </c>
      <c r="R164" s="92">
        <f t="shared" ref="R164" si="325">YEAR(C164)</f>
        <v>2022</v>
      </c>
      <c r="S164" s="269">
        <f t="shared" ref="S164" si="326">IF(Q164=1, 12, Q164-1)</f>
        <v>12</v>
      </c>
      <c r="T164" s="270">
        <f t="shared" ref="T164" si="327">IF(Q164=1,R164+O164-1,R164+O164)</f>
        <v>2025</v>
      </c>
      <c r="U164" s="96">
        <f t="shared" ref="U164" si="328">N164/P164</f>
        <v>252083.33333333334</v>
      </c>
      <c r="V164" s="73">
        <v>12</v>
      </c>
      <c r="W164" s="73">
        <v>12</v>
      </c>
      <c r="X164" s="96">
        <f t="shared" ref="X164:X169" si="329">+V164*U164</f>
        <v>3025000</v>
      </c>
      <c r="Y164" s="96">
        <v>3025000</v>
      </c>
      <c r="Z164" s="96">
        <f t="shared" ref="Z164:Z169" si="330">N164-Y164</f>
        <v>9075000</v>
      </c>
      <c r="AA164" s="73">
        <f t="shared" ref="AA164:AA169" si="331">IF(W164&gt;=P164-12,P164-W164,12)</f>
        <v>12</v>
      </c>
      <c r="AB164" s="73">
        <f t="shared" ref="AB164:AB169" si="332">+W164+AA164</f>
        <v>24</v>
      </c>
      <c r="AC164" s="96">
        <f t="shared" ref="AC164:AC169" si="333">+AA164*U164</f>
        <v>3025000</v>
      </c>
      <c r="AD164" s="96">
        <f t="shared" ref="AD164:AD169" si="334">Y164+AC164</f>
        <v>6050000</v>
      </c>
      <c r="AE164" s="96">
        <f t="shared" ref="AE164:AE169" si="335">N164-AD164</f>
        <v>6050000</v>
      </c>
      <c r="AF164" s="73">
        <f t="shared" ref="AF164:AF169" si="336">IF(AB164&gt;=P164-12,P164-AB164,12)</f>
        <v>12</v>
      </c>
      <c r="AG164" s="73">
        <f t="shared" ref="AG164:AG169" si="337">+AB164+AF164</f>
        <v>36</v>
      </c>
      <c r="AH164" s="96">
        <f t="shared" ref="AH164:AH169" si="338">+AF164*U164</f>
        <v>3025000</v>
      </c>
      <c r="AI164" s="96">
        <f t="shared" ref="AI164:AI169" si="339">AD164+AH164</f>
        <v>9075000</v>
      </c>
      <c r="AJ164" s="96">
        <f t="shared" ref="AJ164:AJ169" si="340">N164-AI164</f>
        <v>3025000</v>
      </c>
      <c r="AK164" s="73">
        <f t="shared" ref="AK164:AK169" si="341">IF(AG164&gt;=P164-12,P164-AG164,12)</f>
        <v>12</v>
      </c>
      <c r="AL164" s="73">
        <f t="shared" ref="AL164:AL169" si="342">+AG164+AK164</f>
        <v>48</v>
      </c>
      <c r="AM164" s="96">
        <f t="shared" ref="AM164:AM169" si="343">+AK164*U164</f>
        <v>3025000</v>
      </c>
      <c r="AN164" s="96">
        <f t="shared" ref="AN164:AN169" si="344">AI164+AM164</f>
        <v>12100000</v>
      </c>
      <c r="AO164" s="96">
        <f t="shared" ref="AO164:AO169" si="345">N164-AN164</f>
        <v>0</v>
      </c>
      <c r="AP164" s="73">
        <f t="shared" ref="AP164:AP169" si="346">IF(AL164&gt;=P164-12,P164-AL164,12)</f>
        <v>0</v>
      </c>
      <c r="AQ164" s="73">
        <f t="shared" ref="AQ164:AQ169" si="347">+AL164+AP164</f>
        <v>48</v>
      </c>
      <c r="AR164" s="96">
        <f>+AP164*U164</f>
        <v>0</v>
      </c>
      <c r="AS164" s="96">
        <f t="shared" ref="AS164:AS169" si="348">AN164+AR164</f>
        <v>12100000</v>
      </c>
      <c r="AT164" s="96">
        <f t="shared" ref="AT164:AT169" si="349">N164-AS164</f>
        <v>0</v>
      </c>
      <c r="AU164" s="60"/>
      <c r="AV164" s="202">
        <f t="shared" ref="AV164" si="350">SUM(AW164:BH164)</f>
        <v>0</v>
      </c>
      <c r="AW164" s="203">
        <f t="shared" ref="AW164" si="351">+U164*0</f>
        <v>0</v>
      </c>
      <c r="AX164" s="203">
        <f t="shared" ref="AX164" si="352">+U164*0</f>
        <v>0</v>
      </c>
      <c r="AY164" s="203">
        <f t="shared" ref="AY164" si="353">+U164*0</f>
        <v>0</v>
      </c>
      <c r="AZ164" s="203">
        <f t="shared" ref="AZ164" si="354">+U164*0</f>
        <v>0</v>
      </c>
      <c r="BA164" s="203">
        <f t="shared" ref="BA164" si="355">+U164*0</f>
        <v>0</v>
      </c>
      <c r="BB164" s="203">
        <f t="shared" ref="BB164" si="356">+U164*0</f>
        <v>0</v>
      </c>
      <c r="BC164" s="203">
        <f t="shared" ref="BC164" si="357">+U164*0</f>
        <v>0</v>
      </c>
      <c r="BD164" s="203">
        <f t="shared" ref="BD164" si="358">+U164*0</f>
        <v>0</v>
      </c>
      <c r="BE164" s="203">
        <f t="shared" ref="BE164" si="359">+U164*0</f>
        <v>0</v>
      </c>
      <c r="BF164" s="203">
        <f t="shared" ref="BF164" si="360">+U164*0</f>
        <v>0</v>
      </c>
      <c r="BG164" s="203">
        <f t="shared" ref="BG164" si="361">+U164*0</f>
        <v>0</v>
      </c>
      <c r="BH164" s="203">
        <f t="shared" ref="BH164" si="362">+U164*0</f>
        <v>0</v>
      </c>
    </row>
    <row r="165" spans="2:60" x14ac:dyDescent="0.2">
      <c r="B165" s="68"/>
      <c r="C165" s="89">
        <v>44651</v>
      </c>
      <c r="D165" s="268" t="s">
        <v>374</v>
      </c>
      <c r="E165" s="71">
        <v>1</v>
      </c>
      <c r="F165" s="72" t="s">
        <v>375</v>
      </c>
      <c r="G165" s="90">
        <v>0.25</v>
      </c>
      <c r="H165" s="74"/>
      <c r="I165" s="74"/>
      <c r="J165" s="74"/>
      <c r="K165" s="74"/>
      <c r="L165" s="74"/>
      <c r="M165" s="74"/>
      <c r="N165" s="74">
        <v>1878000</v>
      </c>
      <c r="O165" s="91">
        <f t="shared" ref="O165" si="363">100%/G165</f>
        <v>4</v>
      </c>
      <c r="P165" s="72">
        <f t="shared" ref="P165" si="364">O165*12</f>
        <v>48</v>
      </c>
      <c r="Q165" s="72">
        <f t="shared" ref="Q165" si="365">MONTH(C165)</f>
        <v>3</v>
      </c>
      <c r="R165" s="92">
        <f t="shared" ref="R165" si="366">YEAR(C165)</f>
        <v>2022</v>
      </c>
      <c r="S165" s="269">
        <f t="shared" ref="S165" si="367">IF(Q165=1, 12, Q165-1)</f>
        <v>2</v>
      </c>
      <c r="T165" s="270">
        <f t="shared" ref="T165" si="368">IF(Q165=1,R165+O165-1,R165+O165)</f>
        <v>2026</v>
      </c>
      <c r="U165" s="96">
        <f t="shared" ref="U165" si="369">N165/P165</f>
        <v>39125</v>
      </c>
      <c r="V165" s="73">
        <v>10</v>
      </c>
      <c r="W165" s="73">
        <v>10</v>
      </c>
      <c r="X165" s="96">
        <f t="shared" si="329"/>
        <v>391250</v>
      </c>
      <c r="Y165" s="96">
        <v>391250</v>
      </c>
      <c r="Z165" s="96">
        <f t="shared" si="330"/>
        <v>1486750</v>
      </c>
      <c r="AA165" s="73">
        <f t="shared" si="331"/>
        <v>12</v>
      </c>
      <c r="AB165" s="73">
        <f t="shared" si="332"/>
        <v>22</v>
      </c>
      <c r="AC165" s="96">
        <f t="shared" si="333"/>
        <v>469500</v>
      </c>
      <c r="AD165" s="96">
        <f t="shared" si="334"/>
        <v>860750</v>
      </c>
      <c r="AE165" s="96">
        <f t="shared" si="335"/>
        <v>1017250</v>
      </c>
      <c r="AF165" s="73">
        <f t="shared" si="336"/>
        <v>12</v>
      </c>
      <c r="AG165" s="73">
        <f t="shared" si="337"/>
        <v>34</v>
      </c>
      <c r="AH165" s="96">
        <f t="shared" si="338"/>
        <v>469500</v>
      </c>
      <c r="AI165" s="96">
        <f t="shared" si="339"/>
        <v>1330250</v>
      </c>
      <c r="AJ165" s="96">
        <f t="shared" si="340"/>
        <v>547750</v>
      </c>
      <c r="AK165" s="73">
        <f t="shared" si="341"/>
        <v>12</v>
      </c>
      <c r="AL165" s="73">
        <f t="shared" si="342"/>
        <v>46</v>
      </c>
      <c r="AM165" s="96">
        <f t="shared" si="343"/>
        <v>469500</v>
      </c>
      <c r="AN165" s="96">
        <f t="shared" si="344"/>
        <v>1799750</v>
      </c>
      <c r="AO165" s="96">
        <f t="shared" si="345"/>
        <v>78250</v>
      </c>
      <c r="AP165" s="73">
        <f t="shared" si="346"/>
        <v>2</v>
      </c>
      <c r="AQ165" s="73">
        <f t="shared" si="347"/>
        <v>48</v>
      </c>
      <c r="AR165" s="96">
        <f t="shared" ref="AR165:AR169" si="370">+AP165*U165</f>
        <v>78250</v>
      </c>
      <c r="AS165" s="96">
        <f t="shared" si="348"/>
        <v>1878000</v>
      </c>
      <c r="AT165" s="96">
        <f t="shared" si="349"/>
        <v>0</v>
      </c>
      <c r="AU165" s="60"/>
      <c r="AV165" s="202">
        <f t="shared" ref="AV165" si="371">SUM(AW165:BH165)</f>
        <v>78250</v>
      </c>
      <c r="AW165" s="203">
        <f t="shared" ref="AW165:AW169" si="372">+U165*1</f>
        <v>39125</v>
      </c>
      <c r="AX165" s="203">
        <f t="shared" ref="AX165:AX169" si="373">+U165*1</f>
        <v>39125</v>
      </c>
      <c r="AY165" s="203">
        <f t="shared" ref="AY165" si="374">+U165*0</f>
        <v>0</v>
      </c>
      <c r="AZ165" s="203">
        <f t="shared" ref="AZ165" si="375">+U165*0</f>
        <v>0</v>
      </c>
      <c r="BA165" s="203">
        <f t="shared" ref="BA165" si="376">+U165*0</f>
        <v>0</v>
      </c>
      <c r="BB165" s="203">
        <f t="shared" ref="BB165" si="377">+U165*0</f>
        <v>0</v>
      </c>
      <c r="BC165" s="203">
        <f t="shared" ref="BC165" si="378">+U165*0</f>
        <v>0</v>
      </c>
      <c r="BD165" s="203">
        <f t="shared" ref="BD165" si="379">+U165*0</f>
        <v>0</v>
      </c>
      <c r="BE165" s="203">
        <f t="shared" ref="BE165" si="380">+U165*0</f>
        <v>0</v>
      </c>
      <c r="BF165" s="203">
        <f t="shared" ref="BF165" si="381">+U165*0</f>
        <v>0</v>
      </c>
      <c r="BG165" s="203">
        <f t="shared" ref="BG165" si="382">+U165*0</f>
        <v>0</v>
      </c>
      <c r="BH165" s="203">
        <f t="shared" ref="BH165" si="383">+U165*0</f>
        <v>0</v>
      </c>
    </row>
    <row r="166" spans="2:60" x14ac:dyDescent="0.2">
      <c r="B166" s="68"/>
      <c r="C166" s="89">
        <v>44749</v>
      </c>
      <c r="D166" s="268" t="s">
        <v>379</v>
      </c>
      <c r="E166" s="71">
        <v>1</v>
      </c>
      <c r="F166" s="72" t="s">
        <v>380</v>
      </c>
      <c r="G166" s="90">
        <v>0.25</v>
      </c>
      <c r="H166" s="74"/>
      <c r="I166" s="74"/>
      <c r="J166" s="74"/>
      <c r="K166" s="74"/>
      <c r="L166" s="74"/>
      <c r="M166" s="74"/>
      <c r="N166" s="74">
        <v>9245000</v>
      </c>
      <c r="O166" s="91">
        <f t="shared" ref="O166" si="384">100%/G166</f>
        <v>4</v>
      </c>
      <c r="P166" s="72">
        <f t="shared" ref="P166" si="385">O166*12</f>
        <v>48</v>
      </c>
      <c r="Q166" s="72">
        <f t="shared" ref="Q166" si="386">MONTH(C166)</f>
        <v>7</v>
      </c>
      <c r="R166" s="92">
        <f t="shared" ref="R166" si="387">YEAR(C166)</f>
        <v>2022</v>
      </c>
      <c r="S166" s="269">
        <f t="shared" ref="S166" si="388">IF(Q166=1, 12, Q166-1)</f>
        <v>6</v>
      </c>
      <c r="T166" s="270">
        <f t="shared" ref="T166" si="389">IF(Q166=1,R166+O166-1,R166+O166)</f>
        <v>2026</v>
      </c>
      <c r="U166" s="96">
        <f t="shared" ref="U166" si="390">N166/P166</f>
        <v>192604.16666666666</v>
      </c>
      <c r="V166" s="73">
        <v>6</v>
      </c>
      <c r="W166" s="73">
        <v>6</v>
      </c>
      <c r="X166" s="96">
        <f t="shared" si="329"/>
        <v>1155625</v>
      </c>
      <c r="Y166" s="96">
        <v>1155625</v>
      </c>
      <c r="Z166" s="96">
        <f t="shared" si="330"/>
        <v>8089375</v>
      </c>
      <c r="AA166" s="73">
        <f t="shared" si="331"/>
        <v>12</v>
      </c>
      <c r="AB166" s="73">
        <f t="shared" si="332"/>
        <v>18</v>
      </c>
      <c r="AC166" s="96">
        <f t="shared" si="333"/>
        <v>2311250</v>
      </c>
      <c r="AD166" s="96">
        <f t="shared" si="334"/>
        <v>3466875</v>
      </c>
      <c r="AE166" s="96">
        <f t="shared" si="335"/>
        <v>5778125</v>
      </c>
      <c r="AF166" s="73">
        <f t="shared" si="336"/>
        <v>12</v>
      </c>
      <c r="AG166" s="73">
        <f t="shared" si="337"/>
        <v>30</v>
      </c>
      <c r="AH166" s="96">
        <f t="shared" si="338"/>
        <v>2311250</v>
      </c>
      <c r="AI166" s="96">
        <f t="shared" si="339"/>
        <v>5778125</v>
      </c>
      <c r="AJ166" s="96">
        <f t="shared" si="340"/>
        <v>3466875</v>
      </c>
      <c r="AK166" s="73">
        <f t="shared" si="341"/>
        <v>12</v>
      </c>
      <c r="AL166" s="73">
        <f t="shared" si="342"/>
        <v>42</v>
      </c>
      <c r="AM166" s="96">
        <f t="shared" si="343"/>
        <v>2311250</v>
      </c>
      <c r="AN166" s="96">
        <f t="shared" si="344"/>
        <v>8089375</v>
      </c>
      <c r="AO166" s="96">
        <f t="shared" si="345"/>
        <v>1155625</v>
      </c>
      <c r="AP166" s="73">
        <f t="shared" si="346"/>
        <v>6</v>
      </c>
      <c r="AQ166" s="73">
        <f t="shared" si="347"/>
        <v>48</v>
      </c>
      <c r="AR166" s="96">
        <f t="shared" si="370"/>
        <v>1155625</v>
      </c>
      <c r="AS166" s="96">
        <f t="shared" si="348"/>
        <v>9245000</v>
      </c>
      <c r="AT166" s="96">
        <f t="shared" si="349"/>
        <v>0</v>
      </c>
      <c r="AU166" s="60"/>
      <c r="AV166" s="202">
        <f t="shared" ref="AV166" si="391">SUM(AW166:BH166)</f>
        <v>1155625</v>
      </c>
      <c r="AW166" s="203">
        <f t="shared" si="372"/>
        <v>192604.16666666666</v>
      </c>
      <c r="AX166" s="203">
        <f t="shared" si="373"/>
        <v>192604.16666666666</v>
      </c>
      <c r="AY166" s="203">
        <f t="shared" ref="AY166:AY169" si="392">+U166*1</f>
        <v>192604.16666666666</v>
      </c>
      <c r="AZ166" s="203">
        <f t="shared" ref="AZ166:AZ169" si="393">+U166*1</f>
        <v>192604.16666666666</v>
      </c>
      <c r="BA166" s="203">
        <f t="shared" ref="BA166:BA169" si="394">+U166*1</f>
        <v>192604.16666666666</v>
      </c>
      <c r="BB166" s="203">
        <f t="shared" ref="BB166:BB169" si="395">+U166*1</f>
        <v>192604.16666666666</v>
      </c>
      <c r="BC166" s="203">
        <f t="shared" ref="BC166" si="396">+U166*0</f>
        <v>0</v>
      </c>
      <c r="BD166" s="203">
        <f t="shared" ref="BD166" si="397">+U166*0</f>
        <v>0</v>
      </c>
      <c r="BE166" s="203">
        <f t="shared" ref="BE166" si="398">+U166*0</f>
        <v>0</v>
      </c>
      <c r="BF166" s="203">
        <f t="shared" ref="BF166" si="399">+U166*0</f>
        <v>0</v>
      </c>
      <c r="BG166" s="203">
        <f t="shared" ref="BG166" si="400">+U166*0</f>
        <v>0</v>
      </c>
      <c r="BH166" s="203">
        <f t="shared" ref="BH166" si="401">+U166*0</f>
        <v>0</v>
      </c>
    </row>
    <row r="167" spans="2:60" x14ac:dyDescent="0.2">
      <c r="B167" s="68"/>
      <c r="C167" s="89">
        <v>44792</v>
      </c>
      <c r="D167" s="268" t="s">
        <v>381</v>
      </c>
      <c r="E167" s="71">
        <v>1</v>
      </c>
      <c r="F167" s="72" t="s">
        <v>354</v>
      </c>
      <c r="G167" s="90">
        <v>0.25</v>
      </c>
      <c r="H167" s="74"/>
      <c r="I167" s="74"/>
      <c r="J167" s="74"/>
      <c r="K167" s="74"/>
      <c r="L167" s="74"/>
      <c r="M167" s="74"/>
      <c r="N167" s="74">
        <v>2508600</v>
      </c>
      <c r="O167" s="91">
        <f t="shared" ref="O167" si="402">100%/G167</f>
        <v>4</v>
      </c>
      <c r="P167" s="72">
        <f t="shared" ref="P167" si="403">O167*12</f>
        <v>48</v>
      </c>
      <c r="Q167" s="72">
        <f t="shared" ref="Q167" si="404">MONTH(C167)</f>
        <v>8</v>
      </c>
      <c r="R167" s="92">
        <f t="shared" ref="R167" si="405">YEAR(C167)</f>
        <v>2022</v>
      </c>
      <c r="S167" s="269">
        <f t="shared" ref="S167" si="406">IF(Q167=1, 12, Q167-1)</f>
        <v>7</v>
      </c>
      <c r="T167" s="270">
        <f t="shared" ref="T167" si="407">IF(Q167=1,R167+O167-1,R167+O167)</f>
        <v>2026</v>
      </c>
      <c r="U167" s="96">
        <f t="shared" ref="U167" si="408">N167/P167</f>
        <v>52262.5</v>
      </c>
      <c r="V167" s="73">
        <v>5</v>
      </c>
      <c r="W167" s="73">
        <v>5</v>
      </c>
      <c r="X167" s="96">
        <f t="shared" si="329"/>
        <v>261312.5</v>
      </c>
      <c r="Y167" s="96">
        <v>261312.5</v>
      </c>
      <c r="Z167" s="96">
        <f t="shared" si="330"/>
        <v>2247287.5</v>
      </c>
      <c r="AA167" s="73">
        <f t="shared" si="331"/>
        <v>12</v>
      </c>
      <c r="AB167" s="73">
        <f t="shared" si="332"/>
        <v>17</v>
      </c>
      <c r="AC167" s="96">
        <f t="shared" si="333"/>
        <v>627150</v>
      </c>
      <c r="AD167" s="96">
        <f t="shared" si="334"/>
        <v>888462.5</v>
      </c>
      <c r="AE167" s="96">
        <f t="shared" si="335"/>
        <v>1620137.5</v>
      </c>
      <c r="AF167" s="73">
        <f t="shared" si="336"/>
        <v>12</v>
      </c>
      <c r="AG167" s="73">
        <f t="shared" si="337"/>
        <v>29</v>
      </c>
      <c r="AH167" s="96">
        <f t="shared" si="338"/>
        <v>627150</v>
      </c>
      <c r="AI167" s="96">
        <f t="shared" si="339"/>
        <v>1515612.5</v>
      </c>
      <c r="AJ167" s="96">
        <f t="shared" si="340"/>
        <v>992987.5</v>
      </c>
      <c r="AK167" s="73">
        <f t="shared" si="341"/>
        <v>12</v>
      </c>
      <c r="AL167" s="73">
        <f t="shared" si="342"/>
        <v>41</v>
      </c>
      <c r="AM167" s="96">
        <f t="shared" si="343"/>
        <v>627150</v>
      </c>
      <c r="AN167" s="96">
        <f t="shared" si="344"/>
        <v>2142762.5</v>
      </c>
      <c r="AO167" s="96">
        <f t="shared" si="345"/>
        <v>365837.5</v>
      </c>
      <c r="AP167" s="73">
        <f t="shared" si="346"/>
        <v>7</v>
      </c>
      <c r="AQ167" s="73">
        <f t="shared" si="347"/>
        <v>48</v>
      </c>
      <c r="AR167" s="96">
        <f t="shared" si="370"/>
        <v>365837.5</v>
      </c>
      <c r="AS167" s="96">
        <f t="shared" si="348"/>
        <v>2508600</v>
      </c>
      <c r="AT167" s="96">
        <f t="shared" si="349"/>
        <v>0</v>
      </c>
      <c r="AU167" s="60"/>
      <c r="AV167" s="202">
        <f t="shared" ref="AV167" si="409">SUM(AW167:BH167)</f>
        <v>365837.5</v>
      </c>
      <c r="AW167" s="203">
        <f t="shared" si="372"/>
        <v>52262.5</v>
      </c>
      <c r="AX167" s="203">
        <f t="shared" si="373"/>
        <v>52262.5</v>
      </c>
      <c r="AY167" s="203">
        <f t="shared" si="392"/>
        <v>52262.5</v>
      </c>
      <c r="AZ167" s="203">
        <f t="shared" si="393"/>
        <v>52262.5</v>
      </c>
      <c r="BA167" s="203">
        <f t="shared" si="394"/>
        <v>52262.5</v>
      </c>
      <c r="BB167" s="203">
        <f t="shared" si="395"/>
        <v>52262.5</v>
      </c>
      <c r="BC167" s="203">
        <f t="shared" ref="BC167:BC169" si="410">+U167*1</f>
        <v>52262.5</v>
      </c>
      <c r="BD167" s="203">
        <f t="shared" ref="BD167" si="411">+U167*0</f>
        <v>0</v>
      </c>
      <c r="BE167" s="203">
        <f t="shared" ref="BE167" si="412">+U167*0</f>
        <v>0</v>
      </c>
      <c r="BF167" s="203">
        <f t="shared" ref="BF167" si="413">+U167*0</f>
        <v>0</v>
      </c>
      <c r="BG167" s="203">
        <f t="shared" ref="BG167" si="414">+U167*0</f>
        <v>0</v>
      </c>
      <c r="BH167" s="203">
        <f t="shared" ref="BH167:BH169" si="415">+U167*0</f>
        <v>0</v>
      </c>
    </row>
    <row r="168" spans="2:60" x14ac:dyDescent="0.2">
      <c r="B168" s="68"/>
      <c r="C168" s="89">
        <v>44917</v>
      </c>
      <c r="D168" s="268" t="s">
        <v>389</v>
      </c>
      <c r="E168" s="71">
        <v>1</v>
      </c>
      <c r="F168" s="72" t="s">
        <v>388</v>
      </c>
      <c r="G168" s="90">
        <v>0.25</v>
      </c>
      <c r="H168" s="74"/>
      <c r="I168" s="74"/>
      <c r="J168" s="74"/>
      <c r="K168" s="74"/>
      <c r="L168" s="74"/>
      <c r="M168" s="74"/>
      <c r="N168" s="252">
        <v>4700000</v>
      </c>
      <c r="O168" s="91">
        <f t="shared" ref="O168:O169" si="416">100%/G168</f>
        <v>4</v>
      </c>
      <c r="P168" s="72">
        <f t="shared" ref="P168:P169" si="417">O168*12</f>
        <v>48</v>
      </c>
      <c r="Q168" s="72">
        <f t="shared" ref="Q168" si="418">MONTH(C168)</f>
        <v>12</v>
      </c>
      <c r="R168" s="92">
        <f t="shared" ref="R168" si="419">YEAR(C168)</f>
        <v>2022</v>
      </c>
      <c r="S168" s="269">
        <f t="shared" ref="S168:S169" si="420">IF(Q168=1, 12, Q168-1)</f>
        <v>11</v>
      </c>
      <c r="T168" s="270">
        <f t="shared" ref="T168:T169" si="421">IF(Q168=1,R168+O168-1,R168+O168)</f>
        <v>2026</v>
      </c>
      <c r="U168" s="96">
        <f t="shared" ref="U168:U169" si="422">N168/P168</f>
        <v>97916.666666666672</v>
      </c>
      <c r="V168" s="73">
        <v>1</v>
      </c>
      <c r="W168" s="73">
        <v>1</v>
      </c>
      <c r="X168" s="96">
        <f t="shared" si="329"/>
        <v>97916.666666666672</v>
      </c>
      <c r="Y168" s="96">
        <v>97916.666666666672</v>
      </c>
      <c r="Z168" s="96">
        <f t="shared" si="330"/>
        <v>4602083.333333333</v>
      </c>
      <c r="AA168" s="73">
        <f t="shared" si="331"/>
        <v>12</v>
      </c>
      <c r="AB168" s="73">
        <f t="shared" si="332"/>
        <v>13</v>
      </c>
      <c r="AC168" s="96">
        <f t="shared" si="333"/>
        <v>1175000</v>
      </c>
      <c r="AD168" s="96">
        <f t="shared" si="334"/>
        <v>1272916.6666666667</v>
      </c>
      <c r="AE168" s="96">
        <f t="shared" si="335"/>
        <v>3427083.333333333</v>
      </c>
      <c r="AF168" s="73">
        <f t="shared" si="336"/>
        <v>12</v>
      </c>
      <c r="AG168" s="73">
        <f t="shared" si="337"/>
        <v>25</v>
      </c>
      <c r="AH168" s="96">
        <f t="shared" si="338"/>
        <v>1175000</v>
      </c>
      <c r="AI168" s="96">
        <f t="shared" si="339"/>
        <v>2447916.666666667</v>
      </c>
      <c r="AJ168" s="96">
        <f t="shared" si="340"/>
        <v>2252083.333333333</v>
      </c>
      <c r="AK168" s="73">
        <f t="shared" si="341"/>
        <v>12</v>
      </c>
      <c r="AL168" s="73">
        <f t="shared" si="342"/>
        <v>37</v>
      </c>
      <c r="AM168" s="96">
        <f t="shared" si="343"/>
        <v>1175000</v>
      </c>
      <c r="AN168" s="96">
        <f t="shared" si="344"/>
        <v>3622916.666666667</v>
      </c>
      <c r="AO168" s="96">
        <f t="shared" si="345"/>
        <v>1077083.333333333</v>
      </c>
      <c r="AP168" s="73">
        <f t="shared" si="346"/>
        <v>11</v>
      </c>
      <c r="AQ168" s="73">
        <f t="shared" si="347"/>
        <v>48</v>
      </c>
      <c r="AR168" s="96">
        <f t="shared" si="370"/>
        <v>1077083.3333333335</v>
      </c>
      <c r="AS168" s="96">
        <f t="shared" si="348"/>
        <v>4700000</v>
      </c>
      <c r="AT168" s="96">
        <f t="shared" si="349"/>
        <v>0</v>
      </c>
      <c r="AU168" s="60"/>
      <c r="AV168" s="202">
        <f t="shared" ref="AV168:AV169" si="423">SUM(AW168:BH168)</f>
        <v>1077083.3333333333</v>
      </c>
      <c r="AW168" s="203">
        <f t="shared" si="372"/>
        <v>97916.666666666672</v>
      </c>
      <c r="AX168" s="203">
        <f t="shared" si="373"/>
        <v>97916.666666666672</v>
      </c>
      <c r="AY168" s="203">
        <f t="shared" si="392"/>
        <v>97916.666666666672</v>
      </c>
      <c r="AZ168" s="203">
        <f t="shared" si="393"/>
        <v>97916.666666666672</v>
      </c>
      <c r="BA168" s="203">
        <f t="shared" si="394"/>
        <v>97916.666666666672</v>
      </c>
      <c r="BB168" s="203">
        <f t="shared" si="395"/>
        <v>97916.666666666672</v>
      </c>
      <c r="BC168" s="203">
        <f t="shared" si="410"/>
        <v>97916.666666666672</v>
      </c>
      <c r="BD168" s="203">
        <f t="shared" ref="BD168:BD169" si="424">+U168*1</f>
        <v>97916.666666666672</v>
      </c>
      <c r="BE168" s="203">
        <f t="shared" ref="BE168:BE169" si="425">+U168*1</f>
        <v>97916.666666666672</v>
      </c>
      <c r="BF168" s="203">
        <f t="shared" ref="BF168:BF169" si="426">+U168*1</f>
        <v>97916.666666666672</v>
      </c>
      <c r="BG168" s="203">
        <f t="shared" ref="BG168:BG169" si="427">+U168*1</f>
        <v>97916.666666666672</v>
      </c>
      <c r="BH168" s="203">
        <f t="shared" si="415"/>
        <v>0</v>
      </c>
    </row>
    <row r="169" spans="2:60" x14ac:dyDescent="0.2">
      <c r="B169" s="68"/>
      <c r="C169" s="89"/>
      <c r="D169" s="268"/>
      <c r="E169" s="71">
        <v>1</v>
      </c>
      <c r="F169" s="72" t="s">
        <v>380</v>
      </c>
      <c r="G169" s="90">
        <v>0.25</v>
      </c>
      <c r="H169" s="74"/>
      <c r="I169" s="74"/>
      <c r="J169" s="74"/>
      <c r="K169" s="74"/>
      <c r="L169" s="74"/>
      <c r="M169" s="74"/>
      <c r="N169" s="252">
        <v>9306000</v>
      </c>
      <c r="O169" s="91">
        <f t="shared" si="416"/>
        <v>4</v>
      </c>
      <c r="P169" s="72">
        <f t="shared" si="417"/>
        <v>48</v>
      </c>
      <c r="Q169" s="72">
        <f>MONTH(C168)</f>
        <v>12</v>
      </c>
      <c r="R169" s="92">
        <f>YEAR(C168)</f>
        <v>2022</v>
      </c>
      <c r="S169" s="269">
        <f t="shared" si="420"/>
        <v>11</v>
      </c>
      <c r="T169" s="270">
        <f t="shared" si="421"/>
        <v>2026</v>
      </c>
      <c r="U169" s="96">
        <f t="shared" si="422"/>
        <v>193875</v>
      </c>
      <c r="V169" s="73">
        <v>1</v>
      </c>
      <c r="W169" s="73">
        <v>1</v>
      </c>
      <c r="X169" s="96">
        <f t="shared" si="329"/>
        <v>193875</v>
      </c>
      <c r="Y169" s="96">
        <v>193875</v>
      </c>
      <c r="Z169" s="96">
        <f t="shared" si="330"/>
        <v>9112125</v>
      </c>
      <c r="AA169" s="73">
        <f t="shared" si="331"/>
        <v>12</v>
      </c>
      <c r="AB169" s="73">
        <f t="shared" si="332"/>
        <v>13</v>
      </c>
      <c r="AC169" s="96">
        <f t="shared" si="333"/>
        <v>2326500</v>
      </c>
      <c r="AD169" s="96">
        <f t="shared" si="334"/>
        <v>2520375</v>
      </c>
      <c r="AE169" s="96">
        <f t="shared" si="335"/>
        <v>6785625</v>
      </c>
      <c r="AF169" s="73">
        <f t="shared" si="336"/>
        <v>12</v>
      </c>
      <c r="AG169" s="73">
        <f t="shared" si="337"/>
        <v>25</v>
      </c>
      <c r="AH169" s="96">
        <f t="shared" si="338"/>
        <v>2326500</v>
      </c>
      <c r="AI169" s="96">
        <f t="shared" si="339"/>
        <v>4846875</v>
      </c>
      <c r="AJ169" s="96">
        <f t="shared" si="340"/>
        <v>4459125</v>
      </c>
      <c r="AK169" s="73">
        <f t="shared" si="341"/>
        <v>12</v>
      </c>
      <c r="AL169" s="73">
        <f t="shared" si="342"/>
        <v>37</v>
      </c>
      <c r="AM169" s="96">
        <f t="shared" si="343"/>
        <v>2326500</v>
      </c>
      <c r="AN169" s="96">
        <f t="shared" si="344"/>
        <v>7173375</v>
      </c>
      <c r="AO169" s="96">
        <f t="shared" si="345"/>
        <v>2132625</v>
      </c>
      <c r="AP169" s="73">
        <f t="shared" si="346"/>
        <v>11</v>
      </c>
      <c r="AQ169" s="73">
        <f t="shared" si="347"/>
        <v>48</v>
      </c>
      <c r="AR169" s="96">
        <f t="shared" si="370"/>
        <v>2132625</v>
      </c>
      <c r="AS169" s="96">
        <f t="shared" si="348"/>
        <v>9306000</v>
      </c>
      <c r="AT169" s="96">
        <f t="shared" si="349"/>
        <v>0</v>
      </c>
      <c r="AU169" s="60"/>
      <c r="AV169" s="202">
        <f t="shared" si="423"/>
        <v>2132625</v>
      </c>
      <c r="AW169" s="203">
        <f t="shared" si="372"/>
        <v>193875</v>
      </c>
      <c r="AX169" s="203">
        <f t="shared" si="373"/>
        <v>193875</v>
      </c>
      <c r="AY169" s="203">
        <f t="shared" si="392"/>
        <v>193875</v>
      </c>
      <c r="AZ169" s="203">
        <f t="shared" si="393"/>
        <v>193875</v>
      </c>
      <c r="BA169" s="203">
        <f t="shared" si="394"/>
        <v>193875</v>
      </c>
      <c r="BB169" s="203">
        <f t="shared" si="395"/>
        <v>193875</v>
      </c>
      <c r="BC169" s="203">
        <f t="shared" si="410"/>
        <v>193875</v>
      </c>
      <c r="BD169" s="203">
        <f t="shared" si="424"/>
        <v>193875</v>
      </c>
      <c r="BE169" s="203">
        <f t="shared" si="425"/>
        <v>193875</v>
      </c>
      <c r="BF169" s="203">
        <f t="shared" si="426"/>
        <v>193875</v>
      </c>
      <c r="BG169" s="203">
        <f t="shared" si="427"/>
        <v>193875</v>
      </c>
      <c r="BH169" s="203">
        <f t="shared" si="415"/>
        <v>0</v>
      </c>
    </row>
    <row r="170" spans="2:60" x14ac:dyDescent="0.2">
      <c r="B170" s="68"/>
      <c r="C170" s="89"/>
      <c r="D170" s="268"/>
      <c r="E170" s="71"/>
      <c r="F170" s="72"/>
      <c r="G170" s="90"/>
      <c r="H170" s="74"/>
      <c r="I170" s="74"/>
      <c r="J170" s="74"/>
      <c r="K170" s="74"/>
      <c r="L170" s="74"/>
      <c r="M170" s="74"/>
      <c r="N170" s="252"/>
      <c r="O170" s="91"/>
      <c r="P170" s="72"/>
      <c r="Q170" s="72"/>
      <c r="R170" s="92"/>
      <c r="S170" s="93"/>
      <c r="T170" s="94"/>
      <c r="U170" s="253"/>
      <c r="V170" s="252"/>
      <c r="W170" s="252"/>
      <c r="X170" s="252"/>
      <c r="Y170" s="252"/>
      <c r="Z170" s="252"/>
      <c r="AA170" s="252"/>
      <c r="AB170" s="252"/>
      <c r="AC170" s="252"/>
      <c r="AD170" s="252"/>
      <c r="AE170" s="252"/>
      <c r="AF170" s="252"/>
      <c r="AG170" s="252"/>
      <c r="AH170" s="252"/>
      <c r="AI170" s="252"/>
      <c r="AJ170" s="252"/>
      <c r="AK170" s="252"/>
      <c r="AL170" s="252"/>
      <c r="AM170" s="252"/>
      <c r="AN170" s="252"/>
      <c r="AO170" s="252"/>
      <c r="AP170" s="252"/>
      <c r="AQ170" s="252"/>
      <c r="AR170" s="252"/>
      <c r="AS170" s="252"/>
      <c r="AT170" s="252"/>
      <c r="AU170" s="60"/>
      <c r="AV170" s="271"/>
      <c r="AW170" s="252"/>
      <c r="AX170" s="252"/>
      <c r="AY170" s="252"/>
      <c r="AZ170" s="252"/>
      <c r="BA170" s="252"/>
      <c r="BB170" s="252"/>
      <c r="BC170" s="252"/>
      <c r="BD170" s="252"/>
      <c r="BE170" s="252"/>
      <c r="BF170" s="252"/>
      <c r="BG170" s="252"/>
      <c r="BH170" s="252"/>
    </row>
    <row r="171" spans="2:60" x14ac:dyDescent="0.2">
      <c r="B171" s="68"/>
      <c r="C171" s="89"/>
      <c r="D171" s="70"/>
      <c r="E171" s="71"/>
      <c r="F171" s="72"/>
      <c r="G171" s="90"/>
      <c r="H171" s="74"/>
      <c r="I171" s="74"/>
      <c r="J171" s="74"/>
      <c r="K171" s="74"/>
      <c r="L171" s="74"/>
      <c r="M171" s="74"/>
      <c r="N171" s="159">
        <f>SUM(N164:N170)</f>
        <v>39737600</v>
      </c>
      <c r="O171" s="91"/>
      <c r="P171" s="72"/>
      <c r="Q171" s="72"/>
      <c r="R171" s="92"/>
      <c r="S171" s="93"/>
      <c r="T171" s="94"/>
      <c r="U171" s="159">
        <f>SUM(U164:U170)</f>
        <v>827866.66666666663</v>
      </c>
      <c r="V171" s="252"/>
      <c r="W171" s="252"/>
      <c r="X171" s="159">
        <f>SUM(X164:X170)</f>
        <v>5124979.166666667</v>
      </c>
      <c r="Y171" s="159">
        <f t="shared" ref="Y171:Z171" si="428">SUM(Y164:Y170)</f>
        <v>5124979.166666667</v>
      </c>
      <c r="Z171" s="159">
        <f t="shared" si="428"/>
        <v>34612620.833333328</v>
      </c>
      <c r="AA171" s="252"/>
      <c r="AB171" s="252"/>
      <c r="AC171" s="159">
        <f>SUM(AC164:AC170)</f>
        <v>9934400</v>
      </c>
      <c r="AD171" s="159">
        <f t="shared" ref="AD171:AE171" si="429">SUM(AD164:AD170)</f>
        <v>15059379.166666666</v>
      </c>
      <c r="AE171" s="159">
        <f t="shared" si="429"/>
        <v>24678220.833333332</v>
      </c>
      <c r="AF171" s="252"/>
      <c r="AG171" s="252"/>
      <c r="AH171" s="159">
        <f>SUM(AH164:AH170)</f>
        <v>9934400</v>
      </c>
      <c r="AI171" s="159">
        <f t="shared" ref="AI171:AJ171" si="430">SUM(AI164:AI170)</f>
        <v>24993779.166666668</v>
      </c>
      <c r="AJ171" s="159">
        <f t="shared" si="430"/>
        <v>14743820.833333332</v>
      </c>
      <c r="AK171" s="282"/>
      <c r="AL171" s="282"/>
      <c r="AM171" s="159">
        <f t="shared" ref="AM171:AO171" si="431">SUM(AM164:AM170)</f>
        <v>9934400</v>
      </c>
      <c r="AN171" s="159">
        <f t="shared" si="431"/>
        <v>34928179.166666672</v>
      </c>
      <c r="AO171" s="159">
        <f t="shared" si="431"/>
        <v>4809420.833333333</v>
      </c>
      <c r="AP171" s="282"/>
      <c r="AQ171" s="282"/>
      <c r="AR171" s="159">
        <f t="shared" ref="AR171:AT171" si="432">SUM(AR164:AR170)</f>
        <v>4809420.833333334</v>
      </c>
      <c r="AS171" s="159">
        <f t="shared" si="432"/>
        <v>39737600</v>
      </c>
      <c r="AT171" s="159">
        <f t="shared" si="432"/>
        <v>0</v>
      </c>
      <c r="AU171" s="60"/>
      <c r="AV171" s="159">
        <f t="shared" ref="AV171:BH171" si="433">SUM(AV164:AV170)</f>
        <v>4809420.833333333</v>
      </c>
      <c r="AW171" s="159">
        <f t="shared" si="433"/>
        <v>575783.33333333326</v>
      </c>
      <c r="AX171" s="159">
        <f t="shared" si="433"/>
        <v>575783.33333333326</v>
      </c>
      <c r="AY171" s="159">
        <f t="shared" si="433"/>
        <v>536658.33333333326</v>
      </c>
      <c r="AZ171" s="159">
        <f t="shared" si="433"/>
        <v>536658.33333333326</v>
      </c>
      <c r="BA171" s="159">
        <f t="shared" si="433"/>
        <v>536658.33333333326</v>
      </c>
      <c r="BB171" s="159">
        <f t="shared" si="433"/>
        <v>536658.33333333326</v>
      </c>
      <c r="BC171" s="159">
        <f t="shared" si="433"/>
        <v>344054.16666666669</v>
      </c>
      <c r="BD171" s="159">
        <f t="shared" si="433"/>
        <v>291791.66666666669</v>
      </c>
      <c r="BE171" s="159">
        <f t="shared" si="433"/>
        <v>291791.66666666669</v>
      </c>
      <c r="BF171" s="159">
        <f t="shared" si="433"/>
        <v>291791.66666666669</v>
      </c>
      <c r="BG171" s="159">
        <f t="shared" si="433"/>
        <v>291791.66666666669</v>
      </c>
      <c r="BH171" s="159">
        <f t="shared" si="433"/>
        <v>0</v>
      </c>
    </row>
    <row r="172" spans="2:60" x14ac:dyDescent="0.2">
      <c r="B172" s="68"/>
      <c r="C172" s="89"/>
      <c r="D172" s="70"/>
      <c r="E172" s="71"/>
      <c r="F172" s="72"/>
      <c r="G172" s="90"/>
      <c r="H172" s="74"/>
      <c r="I172" s="74"/>
      <c r="J172" s="74"/>
      <c r="K172" s="74"/>
      <c r="L172" s="74"/>
      <c r="M172" s="74"/>
      <c r="N172" s="252"/>
      <c r="O172" s="91"/>
      <c r="P172" s="72"/>
      <c r="Q172" s="72"/>
      <c r="R172" s="92"/>
      <c r="S172" s="93"/>
      <c r="T172" s="94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60"/>
      <c r="AV172" s="325"/>
      <c r="AW172" s="252"/>
      <c r="AX172" s="252"/>
      <c r="AY172" s="252"/>
      <c r="AZ172" s="252"/>
      <c r="BA172" s="252"/>
      <c r="BB172" s="252"/>
      <c r="BC172" s="252"/>
      <c r="BD172" s="252"/>
      <c r="BE172" s="252"/>
      <c r="BF172" s="252"/>
      <c r="BG172" s="252"/>
      <c r="BH172" s="252"/>
    </row>
    <row r="173" spans="2:60" x14ac:dyDescent="0.2">
      <c r="B173" s="68"/>
      <c r="C173" s="89">
        <v>44956</v>
      </c>
      <c r="D173" s="268" t="s">
        <v>392</v>
      </c>
      <c r="E173" s="71">
        <v>2</v>
      </c>
      <c r="F173" s="72" t="s">
        <v>391</v>
      </c>
      <c r="G173" s="90">
        <v>0.25</v>
      </c>
      <c r="H173" s="74"/>
      <c r="I173" s="74"/>
      <c r="J173" s="74"/>
      <c r="K173" s="74"/>
      <c r="L173" s="74"/>
      <c r="M173" s="74"/>
      <c r="N173" s="252">
        <v>6300000</v>
      </c>
      <c r="O173" s="91">
        <f t="shared" ref="O173:O174" si="434">100%/G173</f>
        <v>4</v>
      </c>
      <c r="P173" s="72">
        <f t="shared" ref="P173:P174" si="435">O173*12</f>
        <v>48</v>
      </c>
      <c r="Q173" s="72">
        <f>MONTH(C172)</f>
        <v>1</v>
      </c>
      <c r="R173" s="92">
        <f>YEAR(C173)</f>
        <v>2023</v>
      </c>
      <c r="S173" s="269">
        <f t="shared" ref="S173:S174" si="436">IF(Q173=1, 12, Q173-1)</f>
        <v>12</v>
      </c>
      <c r="T173" s="270">
        <f t="shared" ref="T173:T174" si="437">IF(Q173=1,R173+O173-1,R173+O173)</f>
        <v>2026</v>
      </c>
      <c r="U173" s="96">
        <f t="shared" ref="U173:U174" si="438">N173/P173</f>
        <v>131250</v>
      </c>
      <c r="V173" s="73"/>
      <c r="W173" s="73"/>
      <c r="X173" s="96"/>
      <c r="Y173" s="96"/>
      <c r="Z173" s="96"/>
      <c r="AA173" s="73">
        <f>IF(W173&gt;=P173-12,P173-W173,12)</f>
        <v>12</v>
      </c>
      <c r="AB173" s="73">
        <f t="shared" ref="AB173:AB175" si="439">+W173+AA173</f>
        <v>12</v>
      </c>
      <c r="AC173" s="96">
        <f t="shared" ref="AC173:AC179" si="440">+AA173*U173</f>
        <v>1575000</v>
      </c>
      <c r="AD173" s="96">
        <f t="shared" ref="AD173:AD174" si="441">Y173+AC173</f>
        <v>1575000</v>
      </c>
      <c r="AE173" s="96">
        <f t="shared" ref="AE173:AE179" si="442">N173-AD173</f>
        <v>4725000</v>
      </c>
      <c r="AF173" s="73">
        <f t="shared" ref="AF173:AF179" si="443">IF(AB173&gt;=P173-12,P173-AB173,12)</f>
        <v>12</v>
      </c>
      <c r="AG173" s="73">
        <f t="shared" ref="AG173:AG179" si="444">+AB173+AF173</f>
        <v>24</v>
      </c>
      <c r="AH173" s="96">
        <f t="shared" ref="AH173:AH179" si="445">+AF173*U173</f>
        <v>1575000</v>
      </c>
      <c r="AI173" s="96">
        <f t="shared" ref="AI173:AI179" si="446">AD173+AH173</f>
        <v>3150000</v>
      </c>
      <c r="AJ173" s="96">
        <f t="shared" ref="AJ173:AJ179" si="447">N173-AI173</f>
        <v>3150000</v>
      </c>
      <c r="AK173" s="73">
        <f t="shared" ref="AK173:AK179" si="448">IF(AG173&gt;=P173-12,P173-AG173,12)</f>
        <v>12</v>
      </c>
      <c r="AL173" s="73">
        <f t="shared" ref="AL173:AL179" si="449">+AG173+AK173</f>
        <v>36</v>
      </c>
      <c r="AM173" s="96">
        <f t="shared" ref="AM173:AM179" si="450">+AK173*U173</f>
        <v>1575000</v>
      </c>
      <c r="AN173" s="96">
        <f t="shared" ref="AN173:AN179" si="451">AI173+AM173</f>
        <v>4725000</v>
      </c>
      <c r="AO173" s="96">
        <f t="shared" ref="AO173:AO179" si="452">N173-AN173</f>
        <v>1575000</v>
      </c>
      <c r="AP173" s="73">
        <f t="shared" ref="AP173:AP179" si="453">IF(AL173&gt;=P173-12,P173-AL173,12)</f>
        <v>12</v>
      </c>
      <c r="AQ173" s="73">
        <f t="shared" ref="AQ173:AQ179" si="454">+AL173+AP173</f>
        <v>48</v>
      </c>
      <c r="AR173" s="96">
        <f t="shared" ref="AR173:AR179" si="455">+AP173*U173</f>
        <v>1575000</v>
      </c>
      <c r="AS173" s="96">
        <f t="shared" ref="AS173:AS179" si="456">AN173+AR173</f>
        <v>6300000</v>
      </c>
      <c r="AT173" s="96">
        <f t="shared" ref="AT173:AT179" si="457">N173-AS173</f>
        <v>0</v>
      </c>
      <c r="AU173" s="60"/>
      <c r="AV173" s="202">
        <f t="shared" ref="AV173:AV174" si="458">SUM(AW173:BH173)</f>
        <v>1575000</v>
      </c>
      <c r="AW173" s="203">
        <f t="shared" ref="AW173:AW179" si="459">+U173*1</f>
        <v>131250</v>
      </c>
      <c r="AX173" s="203">
        <f t="shared" ref="AX173:AX179" si="460">+U173*1</f>
        <v>131250</v>
      </c>
      <c r="AY173" s="203">
        <f t="shared" ref="AY173:AY179" si="461">+U173*1</f>
        <v>131250</v>
      </c>
      <c r="AZ173" s="203">
        <f t="shared" ref="AZ173:AZ179" si="462">+U173*1</f>
        <v>131250</v>
      </c>
      <c r="BA173" s="203">
        <f t="shared" ref="BA173:BA179" si="463">+U173*1</f>
        <v>131250</v>
      </c>
      <c r="BB173" s="203">
        <f t="shared" ref="BB173:BB179" si="464">+U173*1</f>
        <v>131250</v>
      </c>
      <c r="BC173" s="203">
        <f t="shared" ref="BC173:BC179" si="465">+U173*1</f>
        <v>131250</v>
      </c>
      <c r="BD173" s="203">
        <f t="shared" ref="BD173:BD179" si="466">+U173*1</f>
        <v>131250</v>
      </c>
      <c r="BE173" s="203">
        <f t="shared" ref="BE173:BE179" si="467">+U173*1</f>
        <v>131250</v>
      </c>
      <c r="BF173" s="203">
        <f t="shared" ref="BF173:BF179" si="468">+U173*1</f>
        <v>131250</v>
      </c>
      <c r="BG173" s="203">
        <f t="shared" ref="BG173:BG179" si="469">+U173*1</f>
        <v>131250</v>
      </c>
      <c r="BH173" s="203">
        <f t="shared" ref="BH173:BH179" si="470">+U173*1</f>
        <v>131250</v>
      </c>
    </row>
    <row r="174" spans="2:60" x14ac:dyDescent="0.2">
      <c r="B174" s="68"/>
      <c r="C174" s="89">
        <v>45100</v>
      </c>
      <c r="D174" s="70" t="s">
        <v>404</v>
      </c>
      <c r="E174" s="71">
        <v>2</v>
      </c>
      <c r="F174" s="72" t="s">
        <v>388</v>
      </c>
      <c r="G174" s="90">
        <v>0.25</v>
      </c>
      <c r="H174" s="74"/>
      <c r="I174" s="74"/>
      <c r="J174" s="74"/>
      <c r="K174" s="74"/>
      <c r="L174" s="74"/>
      <c r="M174" s="74"/>
      <c r="N174" s="252">
        <v>8600000</v>
      </c>
      <c r="O174" s="91">
        <f t="shared" si="434"/>
        <v>4</v>
      </c>
      <c r="P174" s="72">
        <f t="shared" si="435"/>
        <v>48</v>
      </c>
      <c r="Q174" s="72">
        <f t="shared" ref="Q174" si="471">MONTH(C174)</f>
        <v>6</v>
      </c>
      <c r="R174" s="92">
        <f t="shared" ref="R174" si="472">YEAR(C174)</f>
        <v>2023</v>
      </c>
      <c r="S174" s="269">
        <f t="shared" si="436"/>
        <v>5</v>
      </c>
      <c r="T174" s="270">
        <f t="shared" si="437"/>
        <v>2027</v>
      </c>
      <c r="U174" s="96">
        <f t="shared" si="438"/>
        <v>179166.66666666666</v>
      </c>
      <c r="V174" s="73"/>
      <c r="W174" s="73"/>
      <c r="X174" s="96"/>
      <c r="Y174" s="96"/>
      <c r="Z174" s="96"/>
      <c r="AA174" s="73">
        <f>IF(W174&gt;=P174-7,P174-W174,7)</f>
        <v>7</v>
      </c>
      <c r="AB174" s="73">
        <f t="shared" si="439"/>
        <v>7</v>
      </c>
      <c r="AC174" s="96">
        <f t="shared" si="440"/>
        <v>1254166.6666666665</v>
      </c>
      <c r="AD174" s="96">
        <f t="shared" si="441"/>
        <v>1254166.6666666665</v>
      </c>
      <c r="AE174" s="96">
        <f t="shared" si="442"/>
        <v>7345833.333333334</v>
      </c>
      <c r="AF174" s="73">
        <f t="shared" si="443"/>
        <v>12</v>
      </c>
      <c r="AG174" s="73">
        <f t="shared" si="444"/>
        <v>19</v>
      </c>
      <c r="AH174" s="96">
        <f t="shared" si="445"/>
        <v>2150000</v>
      </c>
      <c r="AI174" s="96">
        <f t="shared" si="446"/>
        <v>3404166.6666666665</v>
      </c>
      <c r="AJ174" s="96">
        <f t="shared" si="447"/>
        <v>5195833.333333334</v>
      </c>
      <c r="AK174" s="73">
        <f t="shared" si="448"/>
        <v>12</v>
      </c>
      <c r="AL174" s="73">
        <f t="shared" si="449"/>
        <v>31</v>
      </c>
      <c r="AM174" s="96">
        <f t="shared" si="450"/>
        <v>2150000</v>
      </c>
      <c r="AN174" s="96">
        <f t="shared" si="451"/>
        <v>5554166.666666666</v>
      </c>
      <c r="AO174" s="96">
        <f t="shared" si="452"/>
        <v>3045833.333333334</v>
      </c>
      <c r="AP174" s="73">
        <f t="shared" si="453"/>
        <v>12</v>
      </c>
      <c r="AQ174" s="73">
        <f t="shared" si="454"/>
        <v>43</v>
      </c>
      <c r="AR174" s="96">
        <f t="shared" si="455"/>
        <v>2150000</v>
      </c>
      <c r="AS174" s="96">
        <f t="shared" si="456"/>
        <v>7704166.666666666</v>
      </c>
      <c r="AT174" s="96">
        <f t="shared" si="457"/>
        <v>895833.33333333395</v>
      </c>
      <c r="AU174" s="60"/>
      <c r="AV174" s="202">
        <f t="shared" si="458"/>
        <v>2150000.0000000005</v>
      </c>
      <c r="AW174" s="203">
        <f t="shared" si="459"/>
        <v>179166.66666666666</v>
      </c>
      <c r="AX174" s="203">
        <f t="shared" si="460"/>
        <v>179166.66666666666</v>
      </c>
      <c r="AY174" s="203">
        <f t="shared" si="461"/>
        <v>179166.66666666666</v>
      </c>
      <c r="AZ174" s="203">
        <f t="shared" si="462"/>
        <v>179166.66666666666</v>
      </c>
      <c r="BA174" s="203">
        <f t="shared" si="463"/>
        <v>179166.66666666666</v>
      </c>
      <c r="BB174" s="203">
        <f t="shared" si="464"/>
        <v>179166.66666666666</v>
      </c>
      <c r="BC174" s="203">
        <f t="shared" si="465"/>
        <v>179166.66666666666</v>
      </c>
      <c r="BD174" s="203">
        <f t="shared" si="466"/>
        <v>179166.66666666666</v>
      </c>
      <c r="BE174" s="203">
        <f t="shared" si="467"/>
        <v>179166.66666666666</v>
      </c>
      <c r="BF174" s="203">
        <f t="shared" si="468"/>
        <v>179166.66666666666</v>
      </c>
      <c r="BG174" s="203">
        <f t="shared" si="469"/>
        <v>179166.66666666666</v>
      </c>
      <c r="BH174" s="203">
        <f t="shared" si="470"/>
        <v>179166.66666666666</v>
      </c>
    </row>
    <row r="175" spans="2:60" x14ac:dyDescent="0.2">
      <c r="B175" s="68"/>
      <c r="C175" s="89">
        <v>45113</v>
      </c>
      <c r="D175" s="70" t="s">
        <v>410</v>
      </c>
      <c r="E175" s="71">
        <v>1</v>
      </c>
      <c r="F175" s="72" t="s">
        <v>411</v>
      </c>
      <c r="G175" s="90">
        <v>0.25</v>
      </c>
      <c r="H175" s="74"/>
      <c r="I175" s="74"/>
      <c r="J175" s="74"/>
      <c r="K175" s="74"/>
      <c r="L175" s="74"/>
      <c r="M175" s="74"/>
      <c r="N175" s="252">
        <v>2799000</v>
      </c>
      <c r="O175" s="91">
        <f t="shared" ref="O175:O177" si="473">100%/G175</f>
        <v>4</v>
      </c>
      <c r="P175" s="72">
        <f t="shared" ref="P175:P177" si="474">O175*12</f>
        <v>48</v>
      </c>
      <c r="Q175" s="72">
        <f t="shared" ref="Q175:Q177" si="475">MONTH(C175)</f>
        <v>7</v>
      </c>
      <c r="R175" s="92">
        <f t="shared" ref="R175:R177" si="476">YEAR(C175)</f>
        <v>2023</v>
      </c>
      <c r="S175" s="269">
        <f t="shared" ref="S175:S177" si="477">IF(Q175=1, 12, Q175-1)</f>
        <v>6</v>
      </c>
      <c r="T175" s="270">
        <f t="shared" ref="T175:T177" si="478">IF(Q175=1,R175+O175-1,R175+O175)</f>
        <v>2027</v>
      </c>
      <c r="U175" s="96">
        <f t="shared" ref="U175:U177" si="479">N175/P175</f>
        <v>58312.5</v>
      </c>
      <c r="V175" s="73"/>
      <c r="W175" s="73"/>
      <c r="X175" s="96"/>
      <c r="Y175" s="96"/>
      <c r="Z175" s="96"/>
      <c r="AA175" s="73">
        <f>IF(W175&gt;=P175-6,P175-W175,6)</f>
        <v>6</v>
      </c>
      <c r="AB175" s="73">
        <f t="shared" si="439"/>
        <v>6</v>
      </c>
      <c r="AC175" s="96">
        <f t="shared" si="440"/>
        <v>349875</v>
      </c>
      <c r="AD175" s="96">
        <f t="shared" ref="AD175:AD177" si="480">Y175+AC175</f>
        <v>349875</v>
      </c>
      <c r="AE175" s="96">
        <f t="shared" si="442"/>
        <v>2449125</v>
      </c>
      <c r="AF175" s="73">
        <f t="shared" si="443"/>
        <v>12</v>
      </c>
      <c r="AG175" s="73">
        <f t="shared" si="444"/>
        <v>18</v>
      </c>
      <c r="AH175" s="96">
        <f t="shared" si="445"/>
        <v>699750</v>
      </c>
      <c r="AI175" s="96">
        <f t="shared" si="446"/>
        <v>1049625</v>
      </c>
      <c r="AJ175" s="96">
        <f t="shared" si="447"/>
        <v>1749375</v>
      </c>
      <c r="AK175" s="73">
        <f t="shared" si="448"/>
        <v>12</v>
      </c>
      <c r="AL175" s="73">
        <f t="shared" si="449"/>
        <v>30</v>
      </c>
      <c r="AM175" s="96">
        <f t="shared" si="450"/>
        <v>699750</v>
      </c>
      <c r="AN175" s="96">
        <f t="shared" si="451"/>
        <v>1749375</v>
      </c>
      <c r="AO175" s="96">
        <f t="shared" si="452"/>
        <v>1049625</v>
      </c>
      <c r="AP175" s="73">
        <f t="shared" si="453"/>
        <v>12</v>
      </c>
      <c r="AQ175" s="73">
        <f t="shared" si="454"/>
        <v>42</v>
      </c>
      <c r="AR175" s="96">
        <f t="shared" si="455"/>
        <v>699750</v>
      </c>
      <c r="AS175" s="96">
        <f t="shared" si="456"/>
        <v>2449125</v>
      </c>
      <c r="AT175" s="96">
        <f t="shared" si="457"/>
        <v>349875</v>
      </c>
      <c r="AU175" s="60"/>
      <c r="AV175" s="202">
        <f t="shared" ref="AV175:AV177" si="481">SUM(AW175:BH175)</f>
        <v>699750</v>
      </c>
      <c r="AW175" s="203">
        <f t="shared" si="459"/>
        <v>58312.5</v>
      </c>
      <c r="AX175" s="203">
        <f t="shared" si="460"/>
        <v>58312.5</v>
      </c>
      <c r="AY175" s="203">
        <f t="shared" si="461"/>
        <v>58312.5</v>
      </c>
      <c r="AZ175" s="203">
        <f t="shared" si="462"/>
        <v>58312.5</v>
      </c>
      <c r="BA175" s="203">
        <f t="shared" si="463"/>
        <v>58312.5</v>
      </c>
      <c r="BB175" s="203">
        <f t="shared" si="464"/>
        <v>58312.5</v>
      </c>
      <c r="BC175" s="203">
        <f t="shared" si="465"/>
        <v>58312.5</v>
      </c>
      <c r="BD175" s="203">
        <f t="shared" si="466"/>
        <v>58312.5</v>
      </c>
      <c r="BE175" s="203">
        <f t="shared" si="467"/>
        <v>58312.5</v>
      </c>
      <c r="BF175" s="203">
        <f t="shared" si="468"/>
        <v>58312.5</v>
      </c>
      <c r="BG175" s="203">
        <f t="shared" si="469"/>
        <v>58312.5</v>
      </c>
      <c r="BH175" s="203">
        <f t="shared" si="470"/>
        <v>58312.5</v>
      </c>
    </row>
    <row r="176" spans="2:60" x14ac:dyDescent="0.2">
      <c r="B176" s="68"/>
      <c r="C176" s="89">
        <v>45125</v>
      </c>
      <c r="D176" s="70" t="s">
        <v>412</v>
      </c>
      <c r="E176" s="71">
        <v>1</v>
      </c>
      <c r="F176" s="72" t="s">
        <v>380</v>
      </c>
      <c r="G176" s="90">
        <v>0.25</v>
      </c>
      <c r="H176" s="74"/>
      <c r="I176" s="74"/>
      <c r="J176" s="74"/>
      <c r="K176" s="74"/>
      <c r="L176" s="74"/>
      <c r="M176" s="74"/>
      <c r="N176" s="252">
        <v>7250000</v>
      </c>
      <c r="O176" s="91">
        <f t="shared" si="473"/>
        <v>4</v>
      </c>
      <c r="P176" s="72">
        <f t="shared" si="474"/>
        <v>48</v>
      </c>
      <c r="Q176" s="72">
        <f t="shared" si="475"/>
        <v>7</v>
      </c>
      <c r="R176" s="92">
        <f t="shared" si="476"/>
        <v>2023</v>
      </c>
      <c r="S176" s="269">
        <f t="shared" si="477"/>
        <v>6</v>
      </c>
      <c r="T176" s="270">
        <f t="shared" si="478"/>
        <v>2027</v>
      </c>
      <c r="U176" s="96">
        <f t="shared" si="479"/>
        <v>151041.66666666666</v>
      </c>
      <c r="V176" s="73"/>
      <c r="W176" s="73"/>
      <c r="X176" s="96"/>
      <c r="Y176" s="96"/>
      <c r="Z176" s="96"/>
      <c r="AA176" s="73">
        <f>IF(W176&gt;=P176-6,P176-W176,6)</f>
        <v>6</v>
      </c>
      <c r="AB176" s="73">
        <f t="shared" ref="AB176:AB177" si="482">+W176+AA176</f>
        <v>6</v>
      </c>
      <c r="AC176" s="96">
        <f t="shared" si="440"/>
        <v>906250</v>
      </c>
      <c r="AD176" s="96">
        <f t="shared" si="480"/>
        <v>906250</v>
      </c>
      <c r="AE176" s="96">
        <f t="shared" si="442"/>
        <v>6343750</v>
      </c>
      <c r="AF176" s="73">
        <f t="shared" si="443"/>
        <v>12</v>
      </c>
      <c r="AG176" s="73">
        <f t="shared" si="444"/>
        <v>18</v>
      </c>
      <c r="AH176" s="96">
        <f t="shared" si="445"/>
        <v>1812500</v>
      </c>
      <c r="AI176" s="96">
        <f t="shared" si="446"/>
        <v>2718750</v>
      </c>
      <c r="AJ176" s="96">
        <f t="shared" si="447"/>
        <v>4531250</v>
      </c>
      <c r="AK176" s="73">
        <f t="shared" si="448"/>
        <v>12</v>
      </c>
      <c r="AL176" s="73">
        <f t="shared" si="449"/>
        <v>30</v>
      </c>
      <c r="AM176" s="96">
        <f t="shared" si="450"/>
        <v>1812500</v>
      </c>
      <c r="AN176" s="96">
        <f t="shared" si="451"/>
        <v>4531250</v>
      </c>
      <c r="AO176" s="96">
        <f t="shared" si="452"/>
        <v>2718750</v>
      </c>
      <c r="AP176" s="73">
        <f t="shared" si="453"/>
        <v>12</v>
      </c>
      <c r="AQ176" s="73">
        <f t="shared" si="454"/>
        <v>42</v>
      </c>
      <c r="AR176" s="96">
        <f t="shared" si="455"/>
        <v>1812500</v>
      </c>
      <c r="AS176" s="96">
        <f t="shared" si="456"/>
        <v>6343750</v>
      </c>
      <c r="AT176" s="96">
        <f t="shared" si="457"/>
        <v>906250</v>
      </c>
      <c r="AU176" s="60"/>
      <c r="AV176" s="202">
        <f t="shared" si="481"/>
        <v>1812500.0000000002</v>
      </c>
      <c r="AW176" s="203">
        <f t="shared" si="459"/>
        <v>151041.66666666666</v>
      </c>
      <c r="AX176" s="203">
        <f t="shared" si="460"/>
        <v>151041.66666666666</v>
      </c>
      <c r="AY176" s="203">
        <f t="shared" si="461"/>
        <v>151041.66666666666</v>
      </c>
      <c r="AZ176" s="203">
        <f t="shared" si="462"/>
        <v>151041.66666666666</v>
      </c>
      <c r="BA176" s="203">
        <f t="shared" si="463"/>
        <v>151041.66666666666</v>
      </c>
      <c r="BB176" s="203">
        <f t="shared" si="464"/>
        <v>151041.66666666666</v>
      </c>
      <c r="BC176" s="203">
        <f t="shared" si="465"/>
        <v>151041.66666666666</v>
      </c>
      <c r="BD176" s="203">
        <f t="shared" si="466"/>
        <v>151041.66666666666</v>
      </c>
      <c r="BE176" s="203">
        <f t="shared" si="467"/>
        <v>151041.66666666666</v>
      </c>
      <c r="BF176" s="203">
        <f t="shared" si="468"/>
        <v>151041.66666666666</v>
      </c>
      <c r="BG176" s="203">
        <f t="shared" si="469"/>
        <v>151041.66666666666</v>
      </c>
      <c r="BH176" s="203">
        <f t="shared" si="470"/>
        <v>151041.66666666666</v>
      </c>
    </row>
    <row r="177" spans="2:60" x14ac:dyDescent="0.2">
      <c r="B177" s="68"/>
      <c r="C177" s="89">
        <v>45138</v>
      </c>
      <c r="D177" s="70" t="s">
        <v>413</v>
      </c>
      <c r="E177" s="71">
        <v>2</v>
      </c>
      <c r="F177" s="72" t="s">
        <v>414</v>
      </c>
      <c r="G177" s="90">
        <v>0.25</v>
      </c>
      <c r="H177" s="74"/>
      <c r="I177" s="74"/>
      <c r="J177" s="74"/>
      <c r="K177" s="74"/>
      <c r="L177" s="74"/>
      <c r="M177" s="74"/>
      <c r="N177" s="252">
        <v>7350000</v>
      </c>
      <c r="O177" s="91">
        <f t="shared" si="473"/>
        <v>4</v>
      </c>
      <c r="P177" s="72">
        <f t="shared" si="474"/>
        <v>48</v>
      </c>
      <c r="Q177" s="72">
        <f t="shared" si="475"/>
        <v>7</v>
      </c>
      <c r="R177" s="92">
        <f t="shared" si="476"/>
        <v>2023</v>
      </c>
      <c r="S177" s="269">
        <f t="shared" si="477"/>
        <v>6</v>
      </c>
      <c r="T177" s="270">
        <f t="shared" si="478"/>
        <v>2027</v>
      </c>
      <c r="U177" s="96">
        <f t="shared" si="479"/>
        <v>153125</v>
      </c>
      <c r="V177" s="73"/>
      <c r="W177" s="73"/>
      <c r="X177" s="96"/>
      <c r="Y177" s="96"/>
      <c r="Z177" s="96"/>
      <c r="AA177" s="73">
        <f>IF(W177&gt;=P177-6,P177-W177,6)</f>
        <v>6</v>
      </c>
      <c r="AB177" s="73">
        <f t="shared" si="482"/>
        <v>6</v>
      </c>
      <c r="AC177" s="96">
        <f t="shared" si="440"/>
        <v>918750</v>
      </c>
      <c r="AD177" s="96">
        <f t="shared" si="480"/>
        <v>918750</v>
      </c>
      <c r="AE177" s="96">
        <f t="shared" si="442"/>
        <v>6431250</v>
      </c>
      <c r="AF177" s="73">
        <f t="shared" si="443"/>
        <v>12</v>
      </c>
      <c r="AG177" s="73">
        <f t="shared" si="444"/>
        <v>18</v>
      </c>
      <c r="AH177" s="96">
        <f t="shared" si="445"/>
        <v>1837500</v>
      </c>
      <c r="AI177" s="96">
        <f t="shared" si="446"/>
        <v>2756250</v>
      </c>
      <c r="AJ177" s="96">
        <f t="shared" si="447"/>
        <v>4593750</v>
      </c>
      <c r="AK177" s="73">
        <f t="shared" si="448"/>
        <v>12</v>
      </c>
      <c r="AL177" s="73">
        <f t="shared" si="449"/>
        <v>30</v>
      </c>
      <c r="AM177" s="96">
        <f t="shared" si="450"/>
        <v>1837500</v>
      </c>
      <c r="AN177" s="96">
        <f t="shared" si="451"/>
        <v>4593750</v>
      </c>
      <c r="AO177" s="96">
        <f t="shared" si="452"/>
        <v>2756250</v>
      </c>
      <c r="AP177" s="73">
        <f t="shared" si="453"/>
        <v>12</v>
      </c>
      <c r="AQ177" s="73">
        <f t="shared" si="454"/>
        <v>42</v>
      </c>
      <c r="AR177" s="96">
        <f t="shared" si="455"/>
        <v>1837500</v>
      </c>
      <c r="AS177" s="96">
        <f t="shared" si="456"/>
        <v>6431250</v>
      </c>
      <c r="AT177" s="96">
        <f t="shared" si="457"/>
        <v>918750</v>
      </c>
      <c r="AU177" s="60"/>
      <c r="AV177" s="202">
        <f t="shared" si="481"/>
        <v>1837500</v>
      </c>
      <c r="AW177" s="203">
        <f t="shared" si="459"/>
        <v>153125</v>
      </c>
      <c r="AX177" s="203">
        <f t="shared" si="460"/>
        <v>153125</v>
      </c>
      <c r="AY177" s="203">
        <f t="shared" si="461"/>
        <v>153125</v>
      </c>
      <c r="AZ177" s="203">
        <f t="shared" si="462"/>
        <v>153125</v>
      </c>
      <c r="BA177" s="203">
        <f t="shared" si="463"/>
        <v>153125</v>
      </c>
      <c r="BB177" s="203">
        <f t="shared" si="464"/>
        <v>153125</v>
      </c>
      <c r="BC177" s="203">
        <f t="shared" si="465"/>
        <v>153125</v>
      </c>
      <c r="BD177" s="203">
        <f t="shared" si="466"/>
        <v>153125</v>
      </c>
      <c r="BE177" s="203">
        <f t="shared" si="467"/>
        <v>153125</v>
      </c>
      <c r="BF177" s="203">
        <f t="shared" si="468"/>
        <v>153125</v>
      </c>
      <c r="BG177" s="203">
        <f t="shared" si="469"/>
        <v>153125</v>
      </c>
      <c r="BH177" s="203">
        <f t="shared" si="470"/>
        <v>153125</v>
      </c>
    </row>
    <row r="178" spans="2:60" x14ac:dyDescent="0.2">
      <c r="B178" s="68"/>
      <c r="C178" s="89">
        <v>45193</v>
      </c>
      <c r="D178" s="70" t="s">
        <v>419</v>
      </c>
      <c r="E178" s="71">
        <v>2</v>
      </c>
      <c r="F178" s="72" t="s">
        <v>420</v>
      </c>
      <c r="G178" s="90">
        <v>0.25</v>
      </c>
      <c r="H178" s="74"/>
      <c r="I178" s="74"/>
      <c r="J178" s="74"/>
      <c r="K178" s="74"/>
      <c r="L178" s="74"/>
      <c r="M178" s="74"/>
      <c r="N178" s="252">
        <v>4750500</v>
      </c>
      <c r="O178" s="91">
        <f t="shared" ref="O178:O179" si="483">100%/G178</f>
        <v>4</v>
      </c>
      <c r="P178" s="72">
        <f t="shared" ref="P178:P179" si="484">O178*12</f>
        <v>48</v>
      </c>
      <c r="Q178" s="72">
        <f t="shared" ref="Q178:Q179" si="485">MONTH(C178)</f>
        <v>9</v>
      </c>
      <c r="R178" s="92">
        <f t="shared" ref="R178:R179" si="486">YEAR(C178)</f>
        <v>2023</v>
      </c>
      <c r="S178" s="269">
        <f t="shared" ref="S178:S179" si="487">IF(Q178=1, 12, Q178-1)</f>
        <v>8</v>
      </c>
      <c r="T178" s="270">
        <f t="shared" ref="T178:T179" si="488">IF(Q178=1,R178+O178-1,R178+O178)</f>
        <v>2027</v>
      </c>
      <c r="U178" s="96">
        <f t="shared" ref="U178:U179" si="489">N178/P178</f>
        <v>98968.75</v>
      </c>
      <c r="V178" s="73"/>
      <c r="W178" s="73"/>
      <c r="X178" s="96"/>
      <c r="Y178" s="96"/>
      <c r="Z178" s="96"/>
      <c r="AA178" s="73">
        <f>IF(W178&gt;=P178-4,P178-W178,4)</f>
        <v>4</v>
      </c>
      <c r="AB178" s="73">
        <f t="shared" ref="AB178:AB179" si="490">+W178+AA178</f>
        <v>4</v>
      </c>
      <c r="AC178" s="96">
        <f t="shared" si="440"/>
        <v>395875</v>
      </c>
      <c r="AD178" s="96">
        <f t="shared" ref="AD178:AD179" si="491">Y178+AC178</f>
        <v>395875</v>
      </c>
      <c r="AE178" s="96">
        <f t="shared" si="442"/>
        <v>4354625</v>
      </c>
      <c r="AF178" s="73">
        <f t="shared" si="443"/>
        <v>12</v>
      </c>
      <c r="AG178" s="73">
        <f t="shared" si="444"/>
        <v>16</v>
      </c>
      <c r="AH178" s="96">
        <f t="shared" si="445"/>
        <v>1187625</v>
      </c>
      <c r="AI178" s="96">
        <f t="shared" si="446"/>
        <v>1583500</v>
      </c>
      <c r="AJ178" s="96">
        <f t="shared" si="447"/>
        <v>3167000</v>
      </c>
      <c r="AK178" s="73">
        <f t="shared" si="448"/>
        <v>12</v>
      </c>
      <c r="AL178" s="73">
        <f t="shared" si="449"/>
        <v>28</v>
      </c>
      <c r="AM178" s="96">
        <f t="shared" si="450"/>
        <v>1187625</v>
      </c>
      <c r="AN178" s="96">
        <f t="shared" si="451"/>
        <v>2771125</v>
      </c>
      <c r="AO178" s="96">
        <f t="shared" si="452"/>
        <v>1979375</v>
      </c>
      <c r="AP178" s="73">
        <f t="shared" si="453"/>
        <v>12</v>
      </c>
      <c r="AQ178" s="73">
        <f t="shared" si="454"/>
        <v>40</v>
      </c>
      <c r="AR178" s="96">
        <f t="shared" si="455"/>
        <v>1187625</v>
      </c>
      <c r="AS178" s="96">
        <f t="shared" si="456"/>
        <v>3958750</v>
      </c>
      <c r="AT178" s="96">
        <f t="shared" si="457"/>
        <v>791750</v>
      </c>
      <c r="AU178" s="60"/>
      <c r="AV178" s="202">
        <f t="shared" ref="AV178:AV179" si="492">SUM(AW178:BH178)</f>
        <v>1187625</v>
      </c>
      <c r="AW178" s="203">
        <f t="shared" si="459"/>
        <v>98968.75</v>
      </c>
      <c r="AX178" s="203">
        <f t="shared" si="460"/>
        <v>98968.75</v>
      </c>
      <c r="AY178" s="203">
        <f t="shared" si="461"/>
        <v>98968.75</v>
      </c>
      <c r="AZ178" s="203">
        <f t="shared" si="462"/>
        <v>98968.75</v>
      </c>
      <c r="BA178" s="203">
        <f t="shared" si="463"/>
        <v>98968.75</v>
      </c>
      <c r="BB178" s="203">
        <f t="shared" si="464"/>
        <v>98968.75</v>
      </c>
      <c r="BC178" s="203">
        <f t="shared" si="465"/>
        <v>98968.75</v>
      </c>
      <c r="BD178" s="203">
        <f t="shared" si="466"/>
        <v>98968.75</v>
      </c>
      <c r="BE178" s="203">
        <f t="shared" si="467"/>
        <v>98968.75</v>
      </c>
      <c r="BF178" s="203">
        <f t="shared" si="468"/>
        <v>98968.75</v>
      </c>
      <c r="BG178" s="203">
        <f t="shared" si="469"/>
        <v>98968.75</v>
      </c>
      <c r="BH178" s="203">
        <f t="shared" si="470"/>
        <v>98968.75</v>
      </c>
    </row>
    <row r="179" spans="2:60" x14ac:dyDescent="0.2">
      <c r="B179" s="68"/>
      <c r="C179" s="89">
        <v>45230</v>
      </c>
      <c r="D179" s="70" t="s">
        <v>421</v>
      </c>
      <c r="E179" s="71">
        <v>1</v>
      </c>
      <c r="F179" s="72" t="s">
        <v>380</v>
      </c>
      <c r="G179" s="90">
        <v>0.25</v>
      </c>
      <c r="H179" s="74"/>
      <c r="I179" s="74"/>
      <c r="J179" s="74"/>
      <c r="K179" s="74"/>
      <c r="L179" s="74"/>
      <c r="M179" s="74"/>
      <c r="N179" s="252">
        <v>7600000</v>
      </c>
      <c r="O179" s="91">
        <f t="shared" si="483"/>
        <v>4</v>
      </c>
      <c r="P179" s="72">
        <f t="shared" si="484"/>
        <v>48</v>
      </c>
      <c r="Q179" s="72">
        <f t="shared" si="485"/>
        <v>10</v>
      </c>
      <c r="R179" s="92">
        <f t="shared" si="486"/>
        <v>2023</v>
      </c>
      <c r="S179" s="269">
        <f t="shared" si="487"/>
        <v>9</v>
      </c>
      <c r="T179" s="270">
        <f t="shared" si="488"/>
        <v>2027</v>
      </c>
      <c r="U179" s="96">
        <f t="shared" si="489"/>
        <v>158333.33333333334</v>
      </c>
      <c r="V179" s="73"/>
      <c r="W179" s="73"/>
      <c r="X179" s="96"/>
      <c r="Y179" s="96"/>
      <c r="Z179" s="96"/>
      <c r="AA179" s="73">
        <f>IF(W179&gt;=P179-3,P179-W179,3)</f>
        <v>3</v>
      </c>
      <c r="AB179" s="73">
        <f t="shared" si="490"/>
        <v>3</v>
      </c>
      <c r="AC179" s="96">
        <f t="shared" si="440"/>
        <v>475000</v>
      </c>
      <c r="AD179" s="96">
        <f t="shared" si="491"/>
        <v>475000</v>
      </c>
      <c r="AE179" s="96">
        <f t="shared" si="442"/>
        <v>7125000</v>
      </c>
      <c r="AF179" s="73">
        <f t="shared" si="443"/>
        <v>12</v>
      </c>
      <c r="AG179" s="73">
        <f t="shared" si="444"/>
        <v>15</v>
      </c>
      <c r="AH179" s="96">
        <f t="shared" si="445"/>
        <v>1900000</v>
      </c>
      <c r="AI179" s="96">
        <f t="shared" si="446"/>
        <v>2375000</v>
      </c>
      <c r="AJ179" s="96">
        <f t="shared" si="447"/>
        <v>5225000</v>
      </c>
      <c r="AK179" s="73">
        <f t="shared" si="448"/>
        <v>12</v>
      </c>
      <c r="AL179" s="73">
        <f t="shared" si="449"/>
        <v>27</v>
      </c>
      <c r="AM179" s="96">
        <f t="shared" si="450"/>
        <v>1900000</v>
      </c>
      <c r="AN179" s="96">
        <f t="shared" si="451"/>
        <v>4275000</v>
      </c>
      <c r="AO179" s="96">
        <f t="shared" si="452"/>
        <v>3325000</v>
      </c>
      <c r="AP179" s="73">
        <f t="shared" si="453"/>
        <v>12</v>
      </c>
      <c r="AQ179" s="73">
        <f t="shared" si="454"/>
        <v>39</v>
      </c>
      <c r="AR179" s="96">
        <f t="shared" si="455"/>
        <v>1900000</v>
      </c>
      <c r="AS179" s="96">
        <f t="shared" si="456"/>
        <v>6175000</v>
      </c>
      <c r="AT179" s="96">
        <f t="shared" si="457"/>
        <v>1425000</v>
      </c>
      <c r="AU179" s="60"/>
      <c r="AV179" s="202">
        <f t="shared" si="492"/>
        <v>1899999.9999999998</v>
      </c>
      <c r="AW179" s="203">
        <f t="shared" si="459"/>
        <v>158333.33333333334</v>
      </c>
      <c r="AX179" s="203">
        <f t="shared" si="460"/>
        <v>158333.33333333334</v>
      </c>
      <c r="AY179" s="203">
        <f t="shared" si="461"/>
        <v>158333.33333333334</v>
      </c>
      <c r="AZ179" s="203">
        <f t="shared" si="462"/>
        <v>158333.33333333334</v>
      </c>
      <c r="BA179" s="203">
        <f t="shared" si="463"/>
        <v>158333.33333333334</v>
      </c>
      <c r="BB179" s="203">
        <f t="shared" si="464"/>
        <v>158333.33333333334</v>
      </c>
      <c r="BC179" s="203">
        <f t="shared" si="465"/>
        <v>158333.33333333334</v>
      </c>
      <c r="BD179" s="203">
        <f t="shared" si="466"/>
        <v>158333.33333333334</v>
      </c>
      <c r="BE179" s="203">
        <f t="shared" si="467"/>
        <v>158333.33333333334</v>
      </c>
      <c r="BF179" s="203">
        <f t="shared" si="468"/>
        <v>158333.33333333334</v>
      </c>
      <c r="BG179" s="203">
        <f t="shared" si="469"/>
        <v>158333.33333333334</v>
      </c>
      <c r="BH179" s="203">
        <f t="shared" si="470"/>
        <v>158333.33333333334</v>
      </c>
    </row>
    <row r="180" spans="2:60" x14ac:dyDescent="0.2">
      <c r="B180" s="68"/>
      <c r="C180" s="89"/>
      <c r="D180" s="70"/>
      <c r="E180" s="71"/>
      <c r="F180" s="72"/>
      <c r="G180" s="90"/>
      <c r="H180" s="74"/>
      <c r="I180" s="74"/>
      <c r="J180" s="74"/>
      <c r="K180" s="74"/>
      <c r="L180" s="74"/>
      <c r="M180" s="74"/>
      <c r="N180" s="252"/>
      <c r="O180" s="91"/>
      <c r="P180" s="72"/>
      <c r="Q180" s="72"/>
      <c r="R180" s="92"/>
      <c r="S180" s="93"/>
      <c r="T180" s="94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E180" s="252"/>
      <c r="AF180" s="252"/>
      <c r="AG180" s="252"/>
      <c r="AH180" s="252"/>
      <c r="AI180" s="252"/>
      <c r="AJ180" s="252"/>
      <c r="AK180" s="252"/>
      <c r="AL180" s="252"/>
      <c r="AM180" s="252"/>
      <c r="AN180" s="252"/>
      <c r="AO180" s="252"/>
      <c r="AP180" s="252"/>
      <c r="AQ180" s="252"/>
      <c r="AR180" s="252"/>
      <c r="AS180" s="252"/>
      <c r="AT180" s="252"/>
      <c r="AU180" s="60"/>
      <c r="AV180" s="325"/>
      <c r="AW180" s="252"/>
      <c r="AX180" s="252"/>
      <c r="AY180" s="252"/>
      <c r="AZ180" s="252"/>
      <c r="BA180" s="252"/>
      <c r="BB180" s="252"/>
      <c r="BC180" s="252"/>
      <c r="BD180" s="252"/>
      <c r="BE180" s="252"/>
      <c r="BF180" s="252"/>
      <c r="BG180" s="252"/>
      <c r="BH180" s="252"/>
    </row>
    <row r="181" spans="2:60" x14ac:dyDescent="0.2">
      <c r="B181" s="68"/>
      <c r="C181" s="89"/>
      <c r="D181" s="70"/>
      <c r="E181" s="71"/>
      <c r="F181" s="72"/>
      <c r="G181" s="90"/>
      <c r="H181" s="74"/>
      <c r="I181" s="74"/>
      <c r="J181" s="74"/>
      <c r="K181" s="74"/>
      <c r="L181" s="74"/>
      <c r="M181" s="74"/>
      <c r="N181" s="159">
        <f>SUM(N173:N180)</f>
        <v>44649500</v>
      </c>
      <c r="O181" s="91"/>
      <c r="P181" s="72"/>
      <c r="Q181" s="72"/>
      <c r="R181" s="92"/>
      <c r="S181" s="93"/>
      <c r="T181" s="94"/>
      <c r="U181" s="159">
        <f>SUM(U173:U180)</f>
        <v>930197.91666666663</v>
      </c>
      <c r="V181" s="252"/>
      <c r="W181" s="252"/>
      <c r="X181" s="252"/>
      <c r="Y181" s="252"/>
      <c r="Z181" s="252"/>
      <c r="AA181" s="252"/>
      <c r="AB181" s="252"/>
      <c r="AC181" s="159">
        <f t="shared" ref="AC181:BH181" si="493">SUM(AC173:AC180)</f>
        <v>5874916.666666666</v>
      </c>
      <c r="AD181" s="159">
        <f t="shared" si="493"/>
        <v>5874916.666666666</v>
      </c>
      <c r="AE181" s="159">
        <f t="shared" si="493"/>
        <v>38774583.333333336</v>
      </c>
      <c r="AF181" s="252"/>
      <c r="AG181" s="252"/>
      <c r="AH181" s="159">
        <f t="shared" ref="AH181:AJ181" si="494">SUM(AH173:AH180)</f>
        <v>11162375</v>
      </c>
      <c r="AI181" s="159">
        <f t="shared" si="494"/>
        <v>17037291.666666664</v>
      </c>
      <c r="AJ181" s="159">
        <f t="shared" si="494"/>
        <v>27612208.333333336</v>
      </c>
      <c r="AK181" s="282"/>
      <c r="AL181" s="282"/>
      <c r="AM181" s="159">
        <f t="shared" ref="AM181:AO181" si="495">SUM(AM173:AM180)</f>
        <v>11162375</v>
      </c>
      <c r="AN181" s="159">
        <f t="shared" si="495"/>
        <v>28199666.666666664</v>
      </c>
      <c r="AO181" s="159">
        <f t="shared" si="495"/>
        <v>16449833.333333334</v>
      </c>
      <c r="AP181" s="282"/>
      <c r="AQ181" s="282"/>
      <c r="AR181" s="159">
        <f t="shared" ref="AR181:AT181" si="496">SUM(AR173:AR180)</f>
        <v>11162375</v>
      </c>
      <c r="AS181" s="159">
        <f t="shared" si="496"/>
        <v>39362041.666666664</v>
      </c>
      <c r="AT181" s="159">
        <f t="shared" si="496"/>
        <v>5287458.333333334</v>
      </c>
      <c r="AU181" s="60"/>
      <c r="AV181" s="159">
        <f t="shared" si="493"/>
        <v>11162375</v>
      </c>
      <c r="AW181" s="159">
        <f t="shared" si="493"/>
        <v>930197.91666666663</v>
      </c>
      <c r="AX181" s="159">
        <f t="shared" si="493"/>
        <v>930197.91666666663</v>
      </c>
      <c r="AY181" s="159">
        <f t="shared" si="493"/>
        <v>930197.91666666663</v>
      </c>
      <c r="AZ181" s="159">
        <f t="shared" si="493"/>
        <v>930197.91666666663</v>
      </c>
      <c r="BA181" s="159">
        <f t="shared" si="493"/>
        <v>930197.91666666663</v>
      </c>
      <c r="BB181" s="159">
        <f t="shared" si="493"/>
        <v>930197.91666666663</v>
      </c>
      <c r="BC181" s="159">
        <f t="shared" si="493"/>
        <v>930197.91666666663</v>
      </c>
      <c r="BD181" s="159">
        <f t="shared" si="493"/>
        <v>930197.91666666663</v>
      </c>
      <c r="BE181" s="159">
        <f t="shared" si="493"/>
        <v>930197.91666666663</v>
      </c>
      <c r="BF181" s="159">
        <f t="shared" si="493"/>
        <v>930197.91666666663</v>
      </c>
      <c r="BG181" s="159">
        <f t="shared" si="493"/>
        <v>930197.91666666663</v>
      </c>
      <c r="BH181" s="159">
        <f t="shared" si="493"/>
        <v>930197.91666666663</v>
      </c>
    </row>
    <row r="182" spans="2:60" x14ac:dyDescent="0.2">
      <c r="B182" s="68"/>
      <c r="C182" s="89"/>
      <c r="D182" s="70"/>
      <c r="E182" s="71"/>
      <c r="F182" s="72"/>
      <c r="G182" s="90"/>
      <c r="H182" s="74"/>
      <c r="I182" s="74"/>
      <c r="J182" s="74"/>
      <c r="K182" s="74"/>
      <c r="L182" s="74"/>
      <c r="M182" s="74"/>
      <c r="N182" s="252"/>
      <c r="O182" s="91"/>
      <c r="P182" s="72"/>
      <c r="Q182" s="72"/>
      <c r="R182" s="92"/>
      <c r="S182" s="93"/>
      <c r="T182" s="94"/>
      <c r="U182" s="252"/>
      <c r="V182" s="252"/>
      <c r="W182" s="252"/>
      <c r="X182" s="252"/>
      <c r="Y182" s="252"/>
      <c r="Z182" s="252"/>
      <c r="AA182" s="252"/>
      <c r="AB182" s="252"/>
      <c r="AC182" s="252"/>
      <c r="AD182" s="252"/>
      <c r="AE182" s="252"/>
      <c r="AF182" s="252"/>
      <c r="AG182" s="252"/>
      <c r="AH182" s="252"/>
      <c r="AI182" s="252"/>
      <c r="AJ182" s="252"/>
      <c r="AK182" s="252"/>
      <c r="AL182" s="252"/>
      <c r="AM182" s="252"/>
      <c r="AN182" s="252"/>
      <c r="AO182" s="252"/>
      <c r="AP182" s="252"/>
      <c r="AQ182" s="252"/>
      <c r="AR182" s="252"/>
      <c r="AS182" s="252"/>
      <c r="AT182" s="252"/>
      <c r="AU182" s="60"/>
      <c r="AV182" s="325"/>
      <c r="AW182" s="252"/>
      <c r="AX182" s="252"/>
      <c r="AY182" s="252"/>
      <c r="AZ182" s="252"/>
      <c r="BA182" s="252"/>
      <c r="BB182" s="252"/>
      <c r="BC182" s="252"/>
      <c r="BD182" s="252"/>
      <c r="BE182" s="252"/>
      <c r="BF182" s="252"/>
      <c r="BG182" s="252"/>
      <c r="BH182" s="252"/>
    </row>
    <row r="183" spans="2:60" x14ac:dyDescent="0.2">
      <c r="B183" s="68"/>
      <c r="C183" s="328">
        <v>45384</v>
      </c>
      <c r="D183" s="353" t="s">
        <v>425</v>
      </c>
      <c r="E183" s="354">
        <v>1</v>
      </c>
      <c r="F183" s="355" t="s">
        <v>426</v>
      </c>
      <c r="G183" s="356">
        <v>0.25</v>
      </c>
      <c r="H183" s="238"/>
      <c r="I183" s="238"/>
      <c r="J183" s="238"/>
      <c r="K183" s="238"/>
      <c r="L183" s="238"/>
      <c r="M183" s="238"/>
      <c r="N183" s="325">
        <v>1100000</v>
      </c>
      <c r="O183" s="357">
        <f t="shared" ref="O183" si="497">100%/G183</f>
        <v>4</v>
      </c>
      <c r="P183" s="355">
        <f t="shared" ref="P183" si="498">O183*12</f>
        <v>48</v>
      </c>
      <c r="Q183" s="355">
        <f t="shared" ref="Q183" si="499">MONTH(C183)</f>
        <v>4</v>
      </c>
      <c r="R183" s="358">
        <f t="shared" ref="R183" si="500">YEAR(C183)</f>
        <v>2024</v>
      </c>
      <c r="S183" s="359">
        <f t="shared" ref="S183" si="501">IF(Q183=1, 12, Q183-1)</f>
        <v>3</v>
      </c>
      <c r="T183" s="360">
        <f t="shared" ref="T183" si="502">IF(Q183=1,R183+O183-1,R183+O183)</f>
        <v>2028</v>
      </c>
      <c r="U183" s="194">
        <f t="shared" ref="U183" si="503">N183/P183</f>
        <v>22916.666666666668</v>
      </c>
      <c r="V183" s="361"/>
      <c r="W183" s="361"/>
      <c r="X183" s="194"/>
      <c r="Y183" s="194"/>
      <c r="Z183" s="194"/>
      <c r="AA183" s="361"/>
      <c r="AB183" s="361"/>
      <c r="AC183" s="194">
        <f t="shared" ref="AC183" si="504">+AA183*U183</f>
        <v>0</v>
      </c>
      <c r="AD183" s="194"/>
      <c r="AE183" s="194"/>
      <c r="AF183" s="361">
        <f>IF(AB183&gt;=P183-9,P183-AB183,9)</f>
        <v>9</v>
      </c>
      <c r="AG183" s="361">
        <f t="shared" ref="AG183" si="505">+AB183+AF183</f>
        <v>9</v>
      </c>
      <c r="AH183" s="194">
        <f t="shared" ref="AH183" si="506">+AF183*U183</f>
        <v>206250</v>
      </c>
      <c r="AI183" s="194">
        <f t="shared" ref="AI183:AI191" si="507">AD183+AH183</f>
        <v>206250</v>
      </c>
      <c r="AJ183" s="194">
        <f t="shared" ref="AJ183:AJ191" si="508">N183-AI183</f>
        <v>893750</v>
      </c>
      <c r="AK183" s="73">
        <f t="shared" ref="AK183:AK191" si="509">IF(AG183&gt;=P183-12,P183-AG183,12)</f>
        <v>12</v>
      </c>
      <c r="AL183" s="73">
        <f t="shared" ref="AL183:AL191" si="510">+AG183+AK183</f>
        <v>21</v>
      </c>
      <c r="AM183" s="96">
        <f t="shared" ref="AM183:AM191" si="511">+AK183*U183</f>
        <v>275000</v>
      </c>
      <c r="AN183" s="96">
        <f t="shared" ref="AN183:AN191" si="512">AI183+AM183</f>
        <v>481250</v>
      </c>
      <c r="AO183" s="96">
        <f>N183-AN183</f>
        <v>618750</v>
      </c>
      <c r="AP183" s="73">
        <f t="shared" ref="AP183:AP191" si="513">IF(AL183&gt;=P183-12,P183-AL183,12)</f>
        <v>12</v>
      </c>
      <c r="AQ183" s="73">
        <f t="shared" ref="AQ183:AQ191" si="514">+AL183+AP183</f>
        <v>33</v>
      </c>
      <c r="AR183" s="96">
        <f t="shared" ref="AR183:AR191" si="515">+AP183*U183</f>
        <v>275000</v>
      </c>
      <c r="AS183" s="96">
        <f t="shared" ref="AS183:AS191" si="516">AN183+AR183</f>
        <v>756250</v>
      </c>
      <c r="AT183" s="96">
        <f t="shared" ref="AT183:AT191" si="517">N183-AS183</f>
        <v>343750</v>
      </c>
      <c r="AU183" s="362"/>
      <c r="AV183" s="202">
        <f t="shared" ref="AV183" si="518">SUM(AW183:BH183)</f>
        <v>274999.99999999994</v>
      </c>
      <c r="AW183" s="203">
        <f t="shared" ref="AW183:AW191" si="519">+U183*1</f>
        <v>22916.666666666668</v>
      </c>
      <c r="AX183" s="203">
        <f t="shared" ref="AX183:AX191" si="520">+U183*1</f>
        <v>22916.666666666668</v>
      </c>
      <c r="AY183" s="203">
        <f t="shared" ref="AY183:AY191" si="521">+U183*1</f>
        <v>22916.666666666668</v>
      </c>
      <c r="AZ183" s="203">
        <f t="shared" ref="AZ183:AZ191" si="522">+U183*1</f>
        <v>22916.666666666668</v>
      </c>
      <c r="BA183" s="203">
        <f t="shared" ref="BA183:BA191" si="523">+U183*1</f>
        <v>22916.666666666668</v>
      </c>
      <c r="BB183" s="203">
        <f t="shared" ref="BB183:BB191" si="524">+U183*1</f>
        <v>22916.666666666668</v>
      </c>
      <c r="BC183" s="203">
        <f t="shared" ref="BC183:BC191" si="525">+U183*1</f>
        <v>22916.666666666668</v>
      </c>
      <c r="BD183" s="203">
        <f t="shared" ref="BD183:BD191" si="526">+U183*1</f>
        <v>22916.666666666668</v>
      </c>
      <c r="BE183" s="203">
        <f t="shared" ref="BE183:BE191" si="527">+U183*1</f>
        <v>22916.666666666668</v>
      </c>
      <c r="BF183" s="203">
        <f t="shared" ref="BF183:BF191" si="528">+U183*1</f>
        <v>22916.666666666668</v>
      </c>
      <c r="BG183" s="203">
        <f t="shared" ref="BG183:BG191" si="529">+U183*1</f>
        <v>22916.666666666668</v>
      </c>
      <c r="BH183" s="203">
        <f t="shared" ref="BH183:BH191" si="530">+U183*1</f>
        <v>22916.666666666668</v>
      </c>
    </row>
    <row r="184" spans="2:60" x14ac:dyDescent="0.2">
      <c r="B184" s="68"/>
      <c r="C184" s="328">
        <v>45481</v>
      </c>
      <c r="D184" s="353" t="s">
        <v>428</v>
      </c>
      <c r="E184" s="354">
        <v>1</v>
      </c>
      <c r="F184" s="355" t="s">
        <v>430</v>
      </c>
      <c r="G184" s="356">
        <v>0.25</v>
      </c>
      <c r="H184" s="238"/>
      <c r="I184" s="238"/>
      <c r="J184" s="238"/>
      <c r="K184" s="238"/>
      <c r="L184" s="238"/>
      <c r="M184" s="238"/>
      <c r="N184" s="325">
        <v>8584685</v>
      </c>
      <c r="O184" s="357">
        <f t="shared" ref="O184:O186" si="531">100%/G184</f>
        <v>4</v>
      </c>
      <c r="P184" s="355">
        <f t="shared" ref="P184:P186" si="532">O184*12</f>
        <v>48</v>
      </c>
      <c r="Q184" s="355">
        <f t="shared" ref="Q184:Q186" si="533">MONTH(C184)</f>
        <v>7</v>
      </c>
      <c r="R184" s="358">
        <f t="shared" ref="R184:R186" si="534">YEAR(C184)</f>
        <v>2024</v>
      </c>
      <c r="S184" s="359">
        <f t="shared" ref="S184:S186" si="535">IF(Q184=1, 12, Q184-1)</f>
        <v>6</v>
      </c>
      <c r="T184" s="360">
        <f t="shared" ref="T184:T186" si="536">IF(Q184=1,R184+O184-1,R184+O184)</f>
        <v>2028</v>
      </c>
      <c r="U184" s="194">
        <f t="shared" ref="U184:U186" si="537">N184/P184</f>
        <v>178847.60416666666</v>
      </c>
      <c r="V184" s="361"/>
      <c r="W184" s="361"/>
      <c r="X184" s="194"/>
      <c r="Y184" s="194"/>
      <c r="Z184" s="194"/>
      <c r="AA184" s="361"/>
      <c r="AB184" s="361"/>
      <c r="AC184" s="194">
        <f t="shared" ref="AC184:AC186" si="538">+AA184*U184</f>
        <v>0</v>
      </c>
      <c r="AD184" s="194"/>
      <c r="AE184" s="194"/>
      <c r="AF184" s="361">
        <f t="shared" ref="AF184:AF186" si="539">IF(AB184&gt;=P184-6,P184-AB184,6)</f>
        <v>6</v>
      </c>
      <c r="AG184" s="361">
        <f t="shared" ref="AG184:AG186" si="540">+AB184+AF184</f>
        <v>6</v>
      </c>
      <c r="AH184" s="194">
        <f t="shared" ref="AH184:AH186" si="541">+AF184*U184</f>
        <v>1073085.625</v>
      </c>
      <c r="AI184" s="194">
        <f t="shared" si="507"/>
        <v>1073085.625</v>
      </c>
      <c r="AJ184" s="194">
        <f t="shared" si="508"/>
        <v>7511599.375</v>
      </c>
      <c r="AK184" s="73">
        <f t="shared" si="509"/>
        <v>12</v>
      </c>
      <c r="AL184" s="73">
        <f t="shared" si="510"/>
        <v>18</v>
      </c>
      <c r="AM184" s="96">
        <f t="shared" si="511"/>
        <v>2146171.25</v>
      </c>
      <c r="AN184" s="96">
        <f t="shared" si="512"/>
        <v>3219256.875</v>
      </c>
      <c r="AO184" s="96">
        <f t="shared" ref="AO184:AO191" si="542">N184-AN184</f>
        <v>5365428.125</v>
      </c>
      <c r="AP184" s="73">
        <f t="shared" si="513"/>
        <v>12</v>
      </c>
      <c r="AQ184" s="73">
        <f t="shared" si="514"/>
        <v>30</v>
      </c>
      <c r="AR184" s="96">
        <f t="shared" si="515"/>
        <v>2146171.25</v>
      </c>
      <c r="AS184" s="96">
        <f t="shared" si="516"/>
        <v>5365428.125</v>
      </c>
      <c r="AT184" s="96">
        <f t="shared" si="517"/>
        <v>3219256.875</v>
      </c>
      <c r="AU184" s="362"/>
      <c r="AV184" s="202">
        <f t="shared" ref="AV184:AV186" si="543">SUM(AW184:BH184)</f>
        <v>2146171.2500000005</v>
      </c>
      <c r="AW184" s="203">
        <f t="shared" si="519"/>
        <v>178847.60416666666</v>
      </c>
      <c r="AX184" s="203">
        <f t="shared" si="520"/>
        <v>178847.60416666666</v>
      </c>
      <c r="AY184" s="203">
        <f t="shared" si="521"/>
        <v>178847.60416666666</v>
      </c>
      <c r="AZ184" s="203">
        <f t="shared" si="522"/>
        <v>178847.60416666666</v>
      </c>
      <c r="BA184" s="203">
        <f t="shared" si="523"/>
        <v>178847.60416666666</v>
      </c>
      <c r="BB184" s="203">
        <f t="shared" si="524"/>
        <v>178847.60416666666</v>
      </c>
      <c r="BC184" s="203">
        <f t="shared" si="525"/>
        <v>178847.60416666666</v>
      </c>
      <c r="BD184" s="203">
        <f t="shared" si="526"/>
        <v>178847.60416666666</v>
      </c>
      <c r="BE184" s="203">
        <f t="shared" si="527"/>
        <v>178847.60416666666</v>
      </c>
      <c r="BF184" s="203">
        <f t="shared" si="528"/>
        <v>178847.60416666666</v>
      </c>
      <c r="BG184" s="203">
        <f t="shared" si="529"/>
        <v>178847.60416666666</v>
      </c>
      <c r="BH184" s="203">
        <f t="shared" si="530"/>
        <v>178847.60416666666</v>
      </c>
    </row>
    <row r="185" spans="2:60" x14ac:dyDescent="0.2">
      <c r="B185" s="68"/>
      <c r="C185" s="328">
        <v>45481</v>
      </c>
      <c r="D185" s="353" t="s">
        <v>428</v>
      </c>
      <c r="E185" s="354">
        <v>1</v>
      </c>
      <c r="F185" s="355" t="s">
        <v>431</v>
      </c>
      <c r="G185" s="356">
        <v>0.25</v>
      </c>
      <c r="H185" s="238"/>
      <c r="I185" s="238"/>
      <c r="J185" s="238"/>
      <c r="K185" s="238"/>
      <c r="L185" s="238"/>
      <c r="M185" s="238"/>
      <c r="N185" s="325">
        <v>7503603</v>
      </c>
      <c r="O185" s="357">
        <f t="shared" si="531"/>
        <v>4</v>
      </c>
      <c r="P185" s="355">
        <f t="shared" si="532"/>
        <v>48</v>
      </c>
      <c r="Q185" s="355">
        <f t="shared" si="533"/>
        <v>7</v>
      </c>
      <c r="R185" s="358">
        <f t="shared" si="534"/>
        <v>2024</v>
      </c>
      <c r="S185" s="359">
        <f t="shared" si="535"/>
        <v>6</v>
      </c>
      <c r="T185" s="360">
        <f t="shared" si="536"/>
        <v>2028</v>
      </c>
      <c r="U185" s="194">
        <f t="shared" si="537"/>
        <v>156325.0625</v>
      </c>
      <c r="V185" s="361"/>
      <c r="W185" s="361"/>
      <c r="X185" s="194"/>
      <c r="Y185" s="194"/>
      <c r="Z185" s="194"/>
      <c r="AA185" s="361"/>
      <c r="AB185" s="361"/>
      <c r="AC185" s="194">
        <f t="shared" si="538"/>
        <v>0</v>
      </c>
      <c r="AD185" s="194"/>
      <c r="AE185" s="194"/>
      <c r="AF185" s="361">
        <f t="shared" si="539"/>
        <v>6</v>
      </c>
      <c r="AG185" s="361">
        <f t="shared" si="540"/>
        <v>6</v>
      </c>
      <c r="AH185" s="194">
        <f t="shared" si="541"/>
        <v>937950.375</v>
      </c>
      <c r="AI185" s="194">
        <f t="shared" si="507"/>
        <v>937950.375</v>
      </c>
      <c r="AJ185" s="194">
        <f t="shared" si="508"/>
        <v>6565652.625</v>
      </c>
      <c r="AK185" s="73">
        <f t="shared" si="509"/>
        <v>12</v>
      </c>
      <c r="AL185" s="73">
        <f t="shared" si="510"/>
        <v>18</v>
      </c>
      <c r="AM185" s="96">
        <f t="shared" si="511"/>
        <v>1875900.75</v>
      </c>
      <c r="AN185" s="96">
        <f t="shared" si="512"/>
        <v>2813851.125</v>
      </c>
      <c r="AO185" s="96">
        <f t="shared" si="542"/>
        <v>4689751.875</v>
      </c>
      <c r="AP185" s="73">
        <f t="shared" si="513"/>
        <v>12</v>
      </c>
      <c r="AQ185" s="73">
        <f t="shared" si="514"/>
        <v>30</v>
      </c>
      <c r="AR185" s="96">
        <f t="shared" si="515"/>
        <v>1875900.75</v>
      </c>
      <c r="AS185" s="96">
        <f t="shared" si="516"/>
        <v>4689751.875</v>
      </c>
      <c r="AT185" s="96">
        <f t="shared" si="517"/>
        <v>2813851.125</v>
      </c>
      <c r="AU185" s="362"/>
      <c r="AV185" s="202">
        <f t="shared" si="543"/>
        <v>1875900.75</v>
      </c>
      <c r="AW185" s="203">
        <f t="shared" si="519"/>
        <v>156325.0625</v>
      </c>
      <c r="AX185" s="203">
        <f t="shared" si="520"/>
        <v>156325.0625</v>
      </c>
      <c r="AY185" s="203">
        <f t="shared" si="521"/>
        <v>156325.0625</v>
      </c>
      <c r="AZ185" s="203">
        <f t="shared" si="522"/>
        <v>156325.0625</v>
      </c>
      <c r="BA185" s="203">
        <f t="shared" si="523"/>
        <v>156325.0625</v>
      </c>
      <c r="BB185" s="203">
        <f t="shared" si="524"/>
        <v>156325.0625</v>
      </c>
      <c r="BC185" s="203">
        <f t="shared" si="525"/>
        <v>156325.0625</v>
      </c>
      <c r="BD185" s="203">
        <f t="shared" si="526"/>
        <v>156325.0625</v>
      </c>
      <c r="BE185" s="203">
        <f t="shared" si="527"/>
        <v>156325.0625</v>
      </c>
      <c r="BF185" s="203">
        <f t="shared" si="528"/>
        <v>156325.0625</v>
      </c>
      <c r="BG185" s="203">
        <f t="shared" si="529"/>
        <v>156325.0625</v>
      </c>
      <c r="BH185" s="203">
        <f t="shared" si="530"/>
        <v>156325.0625</v>
      </c>
    </row>
    <row r="186" spans="2:60" x14ac:dyDescent="0.2">
      <c r="B186" s="68"/>
      <c r="C186" s="328">
        <v>45482</v>
      </c>
      <c r="D186" s="353" t="s">
        <v>429</v>
      </c>
      <c r="E186" s="354">
        <v>1</v>
      </c>
      <c r="F186" s="355" t="s">
        <v>432</v>
      </c>
      <c r="G186" s="356">
        <v>0.25</v>
      </c>
      <c r="H186" s="238"/>
      <c r="I186" s="238"/>
      <c r="J186" s="238"/>
      <c r="K186" s="238"/>
      <c r="L186" s="238"/>
      <c r="M186" s="238"/>
      <c r="N186" s="325">
        <v>4147866</v>
      </c>
      <c r="O186" s="357">
        <f t="shared" si="531"/>
        <v>4</v>
      </c>
      <c r="P186" s="355">
        <f t="shared" si="532"/>
        <v>48</v>
      </c>
      <c r="Q186" s="355">
        <f t="shared" si="533"/>
        <v>7</v>
      </c>
      <c r="R186" s="358">
        <f t="shared" si="534"/>
        <v>2024</v>
      </c>
      <c r="S186" s="359">
        <f t="shared" si="535"/>
        <v>6</v>
      </c>
      <c r="T186" s="360">
        <f t="shared" si="536"/>
        <v>2028</v>
      </c>
      <c r="U186" s="194">
        <f t="shared" si="537"/>
        <v>86413.875</v>
      </c>
      <c r="V186" s="361"/>
      <c r="W186" s="361"/>
      <c r="X186" s="194"/>
      <c r="Y186" s="194"/>
      <c r="Z186" s="194"/>
      <c r="AA186" s="361"/>
      <c r="AB186" s="361"/>
      <c r="AC186" s="194">
        <f t="shared" si="538"/>
        <v>0</v>
      </c>
      <c r="AD186" s="194"/>
      <c r="AE186" s="194"/>
      <c r="AF186" s="361">
        <f t="shared" si="539"/>
        <v>6</v>
      </c>
      <c r="AG186" s="361">
        <f t="shared" si="540"/>
        <v>6</v>
      </c>
      <c r="AH186" s="194">
        <f t="shared" si="541"/>
        <v>518483.25</v>
      </c>
      <c r="AI186" s="194">
        <f t="shared" si="507"/>
        <v>518483.25</v>
      </c>
      <c r="AJ186" s="194">
        <f t="shared" si="508"/>
        <v>3629382.75</v>
      </c>
      <c r="AK186" s="73">
        <f t="shared" si="509"/>
        <v>12</v>
      </c>
      <c r="AL186" s="73">
        <f t="shared" si="510"/>
        <v>18</v>
      </c>
      <c r="AM186" s="96">
        <f t="shared" si="511"/>
        <v>1036966.5</v>
      </c>
      <c r="AN186" s="96">
        <f t="shared" si="512"/>
        <v>1555449.75</v>
      </c>
      <c r="AO186" s="96">
        <f t="shared" si="542"/>
        <v>2592416.25</v>
      </c>
      <c r="AP186" s="73">
        <f t="shared" si="513"/>
        <v>12</v>
      </c>
      <c r="AQ186" s="73">
        <f t="shared" si="514"/>
        <v>30</v>
      </c>
      <c r="AR186" s="96">
        <f t="shared" si="515"/>
        <v>1036966.5</v>
      </c>
      <c r="AS186" s="96">
        <f t="shared" si="516"/>
        <v>2592416.25</v>
      </c>
      <c r="AT186" s="96">
        <f t="shared" si="517"/>
        <v>1555449.75</v>
      </c>
      <c r="AU186" s="362"/>
      <c r="AV186" s="202">
        <f t="shared" si="543"/>
        <v>1036966.5</v>
      </c>
      <c r="AW186" s="203">
        <f t="shared" si="519"/>
        <v>86413.875</v>
      </c>
      <c r="AX186" s="203">
        <f t="shared" si="520"/>
        <v>86413.875</v>
      </c>
      <c r="AY186" s="203">
        <f t="shared" si="521"/>
        <v>86413.875</v>
      </c>
      <c r="AZ186" s="203">
        <f t="shared" si="522"/>
        <v>86413.875</v>
      </c>
      <c r="BA186" s="203">
        <f t="shared" si="523"/>
        <v>86413.875</v>
      </c>
      <c r="BB186" s="203">
        <f t="shared" si="524"/>
        <v>86413.875</v>
      </c>
      <c r="BC186" s="203">
        <f t="shared" si="525"/>
        <v>86413.875</v>
      </c>
      <c r="BD186" s="203">
        <f t="shared" si="526"/>
        <v>86413.875</v>
      </c>
      <c r="BE186" s="203">
        <f t="shared" si="527"/>
        <v>86413.875</v>
      </c>
      <c r="BF186" s="203">
        <f t="shared" si="528"/>
        <v>86413.875</v>
      </c>
      <c r="BG186" s="203">
        <f t="shared" si="529"/>
        <v>86413.875</v>
      </c>
      <c r="BH186" s="203">
        <f t="shared" si="530"/>
        <v>86413.875</v>
      </c>
    </row>
    <row r="187" spans="2:60" x14ac:dyDescent="0.2">
      <c r="B187" s="68"/>
      <c r="C187" s="328">
        <v>45523</v>
      </c>
      <c r="D187" s="353" t="s">
        <v>441</v>
      </c>
      <c r="E187" s="354">
        <v>2</v>
      </c>
      <c r="F187" s="355" t="s">
        <v>442</v>
      </c>
      <c r="G187" s="356">
        <v>0.25</v>
      </c>
      <c r="H187" s="238"/>
      <c r="I187" s="238"/>
      <c r="J187" s="238"/>
      <c r="K187" s="238"/>
      <c r="L187" s="238"/>
      <c r="M187" s="238"/>
      <c r="N187" s="325">
        <v>11300000</v>
      </c>
      <c r="O187" s="357">
        <f t="shared" ref="O187:O189" si="544">100%/G187</f>
        <v>4</v>
      </c>
      <c r="P187" s="355">
        <f t="shared" ref="P187:P189" si="545">O187*12</f>
        <v>48</v>
      </c>
      <c r="Q187" s="355">
        <f t="shared" ref="Q187:Q189" si="546">MONTH(C187)</f>
        <v>8</v>
      </c>
      <c r="R187" s="358">
        <f t="shared" ref="R187:R189" si="547">YEAR(C187)</f>
        <v>2024</v>
      </c>
      <c r="S187" s="359">
        <f t="shared" ref="S187:S189" si="548">IF(Q187=1, 12, Q187-1)</f>
        <v>7</v>
      </c>
      <c r="T187" s="360">
        <f t="shared" ref="T187:T189" si="549">IF(Q187=1,R187+O187-1,R187+O187)</f>
        <v>2028</v>
      </c>
      <c r="U187" s="194">
        <f>N187/P187</f>
        <v>235416.66666666666</v>
      </c>
      <c r="V187" s="361"/>
      <c r="W187" s="361"/>
      <c r="X187" s="194"/>
      <c r="Y187" s="194"/>
      <c r="Z187" s="194"/>
      <c r="AA187" s="361"/>
      <c r="AB187" s="361"/>
      <c r="AC187" s="194">
        <f t="shared" ref="AC187:AC189" si="550">+AA187*U187</f>
        <v>0</v>
      </c>
      <c r="AD187" s="194"/>
      <c r="AE187" s="194"/>
      <c r="AF187" s="361">
        <f>IF(AB187&gt;=P187-5,P187-AB187,5)</f>
        <v>5</v>
      </c>
      <c r="AG187" s="361">
        <f t="shared" ref="AG187:AG189" si="551">+AB187+AF187</f>
        <v>5</v>
      </c>
      <c r="AH187" s="194">
        <f t="shared" ref="AH187:AH189" si="552">+AF187*U187</f>
        <v>1177083.3333333333</v>
      </c>
      <c r="AI187" s="194">
        <f t="shared" si="507"/>
        <v>1177083.3333333333</v>
      </c>
      <c r="AJ187" s="194">
        <f t="shared" si="508"/>
        <v>10122916.666666666</v>
      </c>
      <c r="AK187" s="73">
        <f t="shared" si="509"/>
        <v>12</v>
      </c>
      <c r="AL187" s="73">
        <f t="shared" si="510"/>
        <v>17</v>
      </c>
      <c r="AM187" s="96">
        <f t="shared" si="511"/>
        <v>2825000</v>
      </c>
      <c r="AN187" s="96">
        <f t="shared" si="512"/>
        <v>4002083.333333333</v>
      </c>
      <c r="AO187" s="96">
        <f t="shared" si="542"/>
        <v>7297916.666666667</v>
      </c>
      <c r="AP187" s="73">
        <f t="shared" si="513"/>
        <v>12</v>
      </c>
      <c r="AQ187" s="73">
        <f t="shared" si="514"/>
        <v>29</v>
      </c>
      <c r="AR187" s="96">
        <f t="shared" si="515"/>
        <v>2825000</v>
      </c>
      <c r="AS187" s="96">
        <f t="shared" si="516"/>
        <v>6827083.333333333</v>
      </c>
      <c r="AT187" s="96">
        <f t="shared" si="517"/>
        <v>4472916.666666667</v>
      </c>
      <c r="AU187" s="362"/>
      <c r="AV187" s="202">
        <f t="shared" ref="AV187:AV189" si="553">SUM(AW187:BH187)</f>
        <v>2824999.9999999995</v>
      </c>
      <c r="AW187" s="203">
        <f t="shared" si="519"/>
        <v>235416.66666666666</v>
      </c>
      <c r="AX187" s="203">
        <f t="shared" si="520"/>
        <v>235416.66666666666</v>
      </c>
      <c r="AY187" s="203">
        <f t="shared" si="521"/>
        <v>235416.66666666666</v>
      </c>
      <c r="AZ187" s="203">
        <f t="shared" si="522"/>
        <v>235416.66666666666</v>
      </c>
      <c r="BA187" s="203">
        <f t="shared" si="523"/>
        <v>235416.66666666666</v>
      </c>
      <c r="BB187" s="203">
        <f t="shared" si="524"/>
        <v>235416.66666666666</v>
      </c>
      <c r="BC187" s="203">
        <f t="shared" si="525"/>
        <v>235416.66666666666</v>
      </c>
      <c r="BD187" s="203">
        <f t="shared" si="526"/>
        <v>235416.66666666666</v>
      </c>
      <c r="BE187" s="203">
        <f t="shared" si="527"/>
        <v>235416.66666666666</v>
      </c>
      <c r="BF187" s="203">
        <f t="shared" si="528"/>
        <v>235416.66666666666</v>
      </c>
      <c r="BG187" s="203">
        <f t="shared" si="529"/>
        <v>235416.66666666666</v>
      </c>
      <c r="BH187" s="203">
        <f t="shared" si="530"/>
        <v>235416.66666666666</v>
      </c>
    </row>
    <row r="188" spans="2:60" x14ac:dyDescent="0.2">
      <c r="B188" s="68"/>
      <c r="C188" s="328">
        <v>45540</v>
      </c>
      <c r="D188" s="353" t="s">
        <v>443</v>
      </c>
      <c r="E188" s="354">
        <v>1</v>
      </c>
      <c r="F188" s="355" t="s">
        <v>445</v>
      </c>
      <c r="G188" s="356">
        <v>0.25</v>
      </c>
      <c r="H188" s="238"/>
      <c r="I188" s="238"/>
      <c r="J188" s="238"/>
      <c r="K188" s="238"/>
      <c r="L188" s="238"/>
      <c r="M188" s="238"/>
      <c r="N188" s="325">
        <v>12938000</v>
      </c>
      <c r="O188" s="357">
        <f t="shared" si="544"/>
        <v>4</v>
      </c>
      <c r="P188" s="355">
        <f t="shared" si="545"/>
        <v>48</v>
      </c>
      <c r="Q188" s="355">
        <f t="shared" si="546"/>
        <v>9</v>
      </c>
      <c r="R188" s="358">
        <f t="shared" si="547"/>
        <v>2024</v>
      </c>
      <c r="S188" s="359">
        <f t="shared" si="548"/>
        <v>8</v>
      </c>
      <c r="T188" s="360">
        <f t="shared" si="549"/>
        <v>2028</v>
      </c>
      <c r="U188" s="194">
        <f t="shared" ref="U188:U189" si="554">N188/P188</f>
        <v>269541.66666666669</v>
      </c>
      <c r="V188" s="361"/>
      <c r="W188" s="361"/>
      <c r="X188" s="194"/>
      <c r="Y188" s="194"/>
      <c r="Z188" s="194"/>
      <c r="AA188" s="361"/>
      <c r="AB188" s="361"/>
      <c r="AC188" s="194">
        <f t="shared" si="550"/>
        <v>0</v>
      </c>
      <c r="AD188" s="194"/>
      <c r="AE188" s="194"/>
      <c r="AF188" s="361">
        <f>IF(AB188&gt;=P188-4,P188-AB188,4)</f>
        <v>4</v>
      </c>
      <c r="AG188" s="361">
        <f t="shared" si="551"/>
        <v>4</v>
      </c>
      <c r="AH188" s="194">
        <f t="shared" si="552"/>
        <v>1078166.6666666667</v>
      </c>
      <c r="AI188" s="194">
        <f t="shared" si="507"/>
        <v>1078166.6666666667</v>
      </c>
      <c r="AJ188" s="194">
        <f t="shared" si="508"/>
        <v>11859833.333333334</v>
      </c>
      <c r="AK188" s="73">
        <f t="shared" si="509"/>
        <v>12</v>
      </c>
      <c r="AL188" s="73">
        <f t="shared" si="510"/>
        <v>16</v>
      </c>
      <c r="AM188" s="96">
        <f t="shared" si="511"/>
        <v>3234500</v>
      </c>
      <c r="AN188" s="96">
        <f t="shared" si="512"/>
        <v>4312666.666666667</v>
      </c>
      <c r="AO188" s="96">
        <f t="shared" si="542"/>
        <v>8625333.3333333321</v>
      </c>
      <c r="AP188" s="73">
        <f t="shared" si="513"/>
        <v>12</v>
      </c>
      <c r="AQ188" s="73">
        <f t="shared" si="514"/>
        <v>28</v>
      </c>
      <c r="AR188" s="96">
        <f t="shared" si="515"/>
        <v>3234500</v>
      </c>
      <c r="AS188" s="96">
        <f t="shared" si="516"/>
        <v>7547166.666666667</v>
      </c>
      <c r="AT188" s="96">
        <f t="shared" si="517"/>
        <v>5390833.333333333</v>
      </c>
      <c r="AU188" s="362"/>
      <c r="AV188" s="202">
        <f t="shared" si="553"/>
        <v>3234499.9999999995</v>
      </c>
      <c r="AW188" s="203">
        <f t="shared" si="519"/>
        <v>269541.66666666669</v>
      </c>
      <c r="AX188" s="203">
        <f t="shared" si="520"/>
        <v>269541.66666666669</v>
      </c>
      <c r="AY188" s="203">
        <f t="shared" si="521"/>
        <v>269541.66666666669</v>
      </c>
      <c r="AZ188" s="203">
        <f t="shared" si="522"/>
        <v>269541.66666666669</v>
      </c>
      <c r="BA188" s="203">
        <f t="shared" si="523"/>
        <v>269541.66666666669</v>
      </c>
      <c r="BB188" s="203">
        <f t="shared" si="524"/>
        <v>269541.66666666669</v>
      </c>
      <c r="BC188" s="203">
        <f t="shared" si="525"/>
        <v>269541.66666666669</v>
      </c>
      <c r="BD188" s="203">
        <f t="shared" si="526"/>
        <v>269541.66666666669</v>
      </c>
      <c r="BE188" s="203">
        <f t="shared" si="527"/>
        <v>269541.66666666669</v>
      </c>
      <c r="BF188" s="203">
        <f t="shared" si="528"/>
        <v>269541.66666666669</v>
      </c>
      <c r="BG188" s="203">
        <f t="shared" si="529"/>
        <v>269541.66666666669</v>
      </c>
      <c r="BH188" s="203">
        <f t="shared" si="530"/>
        <v>269541.66666666669</v>
      </c>
    </row>
    <row r="189" spans="2:60" x14ac:dyDescent="0.2">
      <c r="B189" s="68"/>
      <c r="C189" s="328">
        <v>45565</v>
      </c>
      <c r="D189" s="353" t="s">
        <v>444</v>
      </c>
      <c r="E189" s="354">
        <v>1</v>
      </c>
      <c r="F189" s="355" t="s">
        <v>446</v>
      </c>
      <c r="G189" s="356">
        <v>0.25</v>
      </c>
      <c r="H189" s="238"/>
      <c r="I189" s="238"/>
      <c r="J189" s="238"/>
      <c r="K189" s="238"/>
      <c r="L189" s="238"/>
      <c r="M189" s="238"/>
      <c r="N189" s="325">
        <v>3799000</v>
      </c>
      <c r="O189" s="357">
        <f t="shared" si="544"/>
        <v>4</v>
      </c>
      <c r="P189" s="355">
        <f t="shared" si="545"/>
        <v>48</v>
      </c>
      <c r="Q189" s="355">
        <f t="shared" si="546"/>
        <v>9</v>
      </c>
      <c r="R189" s="358">
        <f t="shared" si="547"/>
        <v>2024</v>
      </c>
      <c r="S189" s="359">
        <f t="shared" si="548"/>
        <v>8</v>
      </c>
      <c r="T189" s="360">
        <f t="shared" si="549"/>
        <v>2028</v>
      </c>
      <c r="U189" s="194">
        <f t="shared" si="554"/>
        <v>79145.833333333328</v>
      </c>
      <c r="V189" s="361"/>
      <c r="W189" s="361"/>
      <c r="X189" s="194"/>
      <c r="Y189" s="194"/>
      <c r="Z189" s="194"/>
      <c r="AA189" s="361"/>
      <c r="AB189" s="361"/>
      <c r="AC189" s="194">
        <f t="shared" si="550"/>
        <v>0</v>
      </c>
      <c r="AD189" s="194"/>
      <c r="AE189" s="194"/>
      <c r="AF189" s="361">
        <f>IF(AB189&gt;=P189-4,P189-AB189,4)</f>
        <v>4</v>
      </c>
      <c r="AG189" s="361">
        <f t="shared" si="551"/>
        <v>4</v>
      </c>
      <c r="AH189" s="194">
        <f t="shared" si="552"/>
        <v>316583.33333333331</v>
      </c>
      <c r="AI189" s="194">
        <f t="shared" si="507"/>
        <v>316583.33333333331</v>
      </c>
      <c r="AJ189" s="194">
        <f t="shared" si="508"/>
        <v>3482416.6666666665</v>
      </c>
      <c r="AK189" s="73">
        <f t="shared" si="509"/>
        <v>12</v>
      </c>
      <c r="AL189" s="73">
        <f t="shared" si="510"/>
        <v>16</v>
      </c>
      <c r="AM189" s="96">
        <f t="shared" si="511"/>
        <v>949750</v>
      </c>
      <c r="AN189" s="96">
        <f t="shared" si="512"/>
        <v>1266333.3333333333</v>
      </c>
      <c r="AO189" s="96">
        <f t="shared" si="542"/>
        <v>2532666.666666667</v>
      </c>
      <c r="AP189" s="73">
        <f t="shared" si="513"/>
        <v>12</v>
      </c>
      <c r="AQ189" s="73">
        <f t="shared" si="514"/>
        <v>28</v>
      </c>
      <c r="AR189" s="96">
        <f t="shared" si="515"/>
        <v>949750</v>
      </c>
      <c r="AS189" s="96">
        <f t="shared" si="516"/>
        <v>2216083.333333333</v>
      </c>
      <c r="AT189" s="96">
        <f t="shared" si="517"/>
        <v>1582916.666666667</v>
      </c>
      <c r="AU189" s="362"/>
      <c r="AV189" s="202">
        <f t="shared" si="553"/>
        <v>949750.00000000012</v>
      </c>
      <c r="AW189" s="203">
        <f t="shared" si="519"/>
        <v>79145.833333333328</v>
      </c>
      <c r="AX189" s="203">
        <f t="shared" si="520"/>
        <v>79145.833333333328</v>
      </c>
      <c r="AY189" s="203">
        <f t="shared" si="521"/>
        <v>79145.833333333328</v>
      </c>
      <c r="AZ189" s="203">
        <f t="shared" si="522"/>
        <v>79145.833333333328</v>
      </c>
      <c r="BA189" s="203">
        <f t="shared" si="523"/>
        <v>79145.833333333328</v>
      </c>
      <c r="BB189" s="203">
        <f t="shared" si="524"/>
        <v>79145.833333333328</v>
      </c>
      <c r="BC189" s="203">
        <f t="shared" si="525"/>
        <v>79145.833333333328</v>
      </c>
      <c r="BD189" s="203">
        <f t="shared" si="526"/>
        <v>79145.833333333328</v>
      </c>
      <c r="BE189" s="203">
        <f t="shared" si="527"/>
        <v>79145.833333333328</v>
      </c>
      <c r="BF189" s="203">
        <f t="shared" si="528"/>
        <v>79145.833333333328</v>
      </c>
      <c r="BG189" s="203">
        <f t="shared" si="529"/>
        <v>79145.833333333328</v>
      </c>
      <c r="BH189" s="203">
        <f t="shared" si="530"/>
        <v>79145.833333333328</v>
      </c>
    </row>
    <row r="190" spans="2:60" x14ac:dyDescent="0.2">
      <c r="B190" s="68"/>
      <c r="C190" s="328">
        <v>45616</v>
      </c>
      <c r="D190" s="353" t="s">
        <v>447</v>
      </c>
      <c r="E190" s="354">
        <v>1</v>
      </c>
      <c r="F190" s="355" t="s">
        <v>448</v>
      </c>
      <c r="G190" s="356">
        <v>0.25</v>
      </c>
      <c r="H190" s="238"/>
      <c r="I190" s="238"/>
      <c r="J190" s="238"/>
      <c r="K190" s="238"/>
      <c r="L190" s="238"/>
      <c r="M190" s="238"/>
      <c r="N190" s="325">
        <v>8017117</v>
      </c>
      <c r="O190" s="357">
        <f t="shared" ref="O190:O191" si="555">100%/G190</f>
        <v>4</v>
      </c>
      <c r="P190" s="355">
        <f t="shared" ref="P190:P191" si="556">O190*12</f>
        <v>48</v>
      </c>
      <c r="Q190" s="355">
        <f t="shared" ref="Q190:Q191" si="557">MONTH(C190)</f>
        <v>11</v>
      </c>
      <c r="R190" s="358">
        <f t="shared" ref="R190:R191" si="558">YEAR(C190)</f>
        <v>2024</v>
      </c>
      <c r="S190" s="359">
        <f t="shared" ref="S190:S191" si="559">IF(Q190=1, 12, Q190-1)</f>
        <v>10</v>
      </c>
      <c r="T190" s="360">
        <f t="shared" ref="T190:T191" si="560">IF(Q190=1,R190+O190-1,R190+O190)</f>
        <v>2028</v>
      </c>
      <c r="U190" s="194">
        <f t="shared" ref="U190:U191" si="561">N190/P190</f>
        <v>167023.27083333334</v>
      </c>
      <c r="V190" s="361"/>
      <c r="W190" s="361"/>
      <c r="X190" s="194"/>
      <c r="Y190" s="194"/>
      <c r="Z190" s="194"/>
      <c r="AA190" s="361"/>
      <c r="AB190" s="361"/>
      <c r="AC190" s="194">
        <f t="shared" ref="AC190:AC191" si="562">+AA190*U190</f>
        <v>0</v>
      </c>
      <c r="AD190" s="194"/>
      <c r="AE190" s="194"/>
      <c r="AF190" s="361">
        <f>IF(AB190&gt;=P190-2,P190-AB190,2)</f>
        <v>2</v>
      </c>
      <c r="AG190" s="361">
        <f t="shared" ref="AG190:AG191" si="563">+AB190+AF190</f>
        <v>2</v>
      </c>
      <c r="AH190" s="194">
        <f t="shared" ref="AH190:AH191" si="564">+AF190*U190</f>
        <v>334046.54166666669</v>
      </c>
      <c r="AI190" s="194">
        <f t="shared" si="507"/>
        <v>334046.54166666669</v>
      </c>
      <c r="AJ190" s="194">
        <f t="shared" si="508"/>
        <v>7683070.458333333</v>
      </c>
      <c r="AK190" s="73">
        <f t="shared" si="509"/>
        <v>12</v>
      </c>
      <c r="AL190" s="73">
        <f t="shared" si="510"/>
        <v>14</v>
      </c>
      <c r="AM190" s="96">
        <f t="shared" si="511"/>
        <v>2004279.25</v>
      </c>
      <c r="AN190" s="96">
        <f t="shared" si="512"/>
        <v>2338325.7916666665</v>
      </c>
      <c r="AO190" s="96">
        <f t="shared" si="542"/>
        <v>5678791.208333334</v>
      </c>
      <c r="AP190" s="73">
        <f t="shared" si="513"/>
        <v>12</v>
      </c>
      <c r="AQ190" s="73">
        <f t="shared" si="514"/>
        <v>26</v>
      </c>
      <c r="AR190" s="96">
        <f t="shared" si="515"/>
        <v>2004279.25</v>
      </c>
      <c r="AS190" s="96">
        <f t="shared" si="516"/>
        <v>4342605.041666666</v>
      </c>
      <c r="AT190" s="96">
        <f t="shared" si="517"/>
        <v>3674511.958333334</v>
      </c>
      <c r="AU190" s="362"/>
      <c r="AV190" s="202">
        <f t="shared" ref="AV190:AV191" si="565">SUM(AW190:BH190)</f>
        <v>2004279.2499999998</v>
      </c>
      <c r="AW190" s="203">
        <f t="shared" si="519"/>
        <v>167023.27083333334</v>
      </c>
      <c r="AX190" s="203">
        <f t="shared" si="520"/>
        <v>167023.27083333334</v>
      </c>
      <c r="AY190" s="203">
        <f t="shared" si="521"/>
        <v>167023.27083333334</v>
      </c>
      <c r="AZ190" s="203">
        <f t="shared" si="522"/>
        <v>167023.27083333334</v>
      </c>
      <c r="BA190" s="203">
        <f t="shared" si="523"/>
        <v>167023.27083333334</v>
      </c>
      <c r="BB190" s="203">
        <f t="shared" si="524"/>
        <v>167023.27083333334</v>
      </c>
      <c r="BC190" s="203">
        <f t="shared" si="525"/>
        <v>167023.27083333334</v>
      </c>
      <c r="BD190" s="203">
        <f t="shared" si="526"/>
        <v>167023.27083333334</v>
      </c>
      <c r="BE190" s="203">
        <f t="shared" si="527"/>
        <v>167023.27083333334</v>
      </c>
      <c r="BF190" s="203">
        <f t="shared" si="528"/>
        <v>167023.27083333334</v>
      </c>
      <c r="BG190" s="203">
        <f t="shared" si="529"/>
        <v>167023.27083333334</v>
      </c>
      <c r="BH190" s="203">
        <f t="shared" si="530"/>
        <v>167023.27083333334</v>
      </c>
    </row>
    <row r="191" spans="2:60" x14ac:dyDescent="0.2">
      <c r="B191" s="68"/>
      <c r="C191" s="328">
        <v>45616</v>
      </c>
      <c r="D191" s="353" t="s">
        <v>447</v>
      </c>
      <c r="E191" s="354">
        <v>1</v>
      </c>
      <c r="F191" s="355" t="s">
        <v>457</v>
      </c>
      <c r="G191" s="356">
        <v>0.25</v>
      </c>
      <c r="H191" s="238"/>
      <c r="I191" s="238"/>
      <c r="J191" s="238"/>
      <c r="K191" s="238"/>
      <c r="L191" s="238"/>
      <c r="M191" s="238"/>
      <c r="N191" s="325">
        <v>2072072</v>
      </c>
      <c r="O191" s="357">
        <f t="shared" si="555"/>
        <v>4</v>
      </c>
      <c r="P191" s="355">
        <f t="shared" si="556"/>
        <v>48</v>
      </c>
      <c r="Q191" s="355">
        <f t="shared" si="557"/>
        <v>11</v>
      </c>
      <c r="R191" s="358">
        <f t="shared" si="558"/>
        <v>2024</v>
      </c>
      <c r="S191" s="359">
        <f t="shared" si="559"/>
        <v>10</v>
      </c>
      <c r="T191" s="360">
        <f t="shared" si="560"/>
        <v>2028</v>
      </c>
      <c r="U191" s="194">
        <f t="shared" si="561"/>
        <v>43168.166666666664</v>
      </c>
      <c r="V191" s="361"/>
      <c r="W191" s="361"/>
      <c r="X191" s="194"/>
      <c r="Y191" s="194"/>
      <c r="Z191" s="194"/>
      <c r="AA191" s="361"/>
      <c r="AB191" s="361"/>
      <c r="AC191" s="194">
        <f t="shared" si="562"/>
        <v>0</v>
      </c>
      <c r="AD191" s="194"/>
      <c r="AE191" s="194"/>
      <c r="AF191" s="361">
        <f>IF(AB191&gt;=P191-2,P191-AB191,2)</f>
        <v>2</v>
      </c>
      <c r="AG191" s="361">
        <f t="shared" si="563"/>
        <v>2</v>
      </c>
      <c r="AH191" s="194">
        <f t="shared" si="564"/>
        <v>86336.333333333328</v>
      </c>
      <c r="AI191" s="194">
        <f t="shared" si="507"/>
        <v>86336.333333333328</v>
      </c>
      <c r="AJ191" s="194">
        <f t="shared" si="508"/>
        <v>1985735.6666666667</v>
      </c>
      <c r="AK191" s="73">
        <f t="shared" si="509"/>
        <v>12</v>
      </c>
      <c r="AL191" s="73">
        <f t="shared" si="510"/>
        <v>14</v>
      </c>
      <c r="AM191" s="96">
        <f t="shared" si="511"/>
        <v>518018</v>
      </c>
      <c r="AN191" s="96">
        <f t="shared" si="512"/>
        <v>604354.33333333337</v>
      </c>
      <c r="AO191" s="96">
        <f t="shared" si="542"/>
        <v>1467717.6666666665</v>
      </c>
      <c r="AP191" s="73">
        <f t="shared" si="513"/>
        <v>12</v>
      </c>
      <c r="AQ191" s="73">
        <f t="shared" si="514"/>
        <v>26</v>
      </c>
      <c r="AR191" s="96">
        <f t="shared" si="515"/>
        <v>518018</v>
      </c>
      <c r="AS191" s="96">
        <f t="shared" si="516"/>
        <v>1122372.3333333335</v>
      </c>
      <c r="AT191" s="96">
        <f t="shared" si="517"/>
        <v>949699.66666666651</v>
      </c>
      <c r="AU191" s="362"/>
      <c r="AV191" s="202">
        <f t="shared" si="565"/>
        <v>518018.00000000006</v>
      </c>
      <c r="AW191" s="203">
        <f t="shared" si="519"/>
        <v>43168.166666666664</v>
      </c>
      <c r="AX191" s="203">
        <f t="shared" si="520"/>
        <v>43168.166666666664</v>
      </c>
      <c r="AY191" s="203">
        <f t="shared" si="521"/>
        <v>43168.166666666664</v>
      </c>
      <c r="AZ191" s="203">
        <f t="shared" si="522"/>
        <v>43168.166666666664</v>
      </c>
      <c r="BA191" s="203">
        <f t="shared" si="523"/>
        <v>43168.166666666664</v>
      </c>
      <c r="BB191" s="203">
        <f t="shared" si="524"/>
        <v>43168.166666666664</v>
      </c>
      <c r="BC191" s="203">
        <f t="shared" si="525"/>
        <v>43168.166666666664</v>
      </c>
      <c r="BD191" s="203">
        <f t="shared" si="526"/>
        <v>43168.166666666664</v>
      </c>
      <c r="BE191" s="203">
        <f t="shared" si="527"/>
        <v>43168.166666666664</v>
      </c>
      <c r="BF191" s="203">
        <f t="shared" si="528"/>
        <v>43168.166666666664</v>
      </c>
      <c r="BG191" s="203">
        <f t="shared" si="529"/>
        <v>43168.166666666664</v>
      </c>
      <c r="BH191" s="203">
        <f t="shared" si="530"/>
        <v>43168.166666666664</v>
      </c>
    </row>
    <row r="192" spans="2:60" x14ac:dyDescent="0.2">
      <c r="B192" s="68"/>
      <c r="C192" s="328"/>
      <c r="D192" s="363"/>
      <c r="E192" s="354"/>
      <c r="F192" s="355"/>
      <c r="G192" s="356"/>
      <c r="H192" s="238"/>
      <c r="I192" s="238"/>
      <c r="J192" s="238"/>
      <c r="K192" s="238"/>
      <c r="L192" s="238"/>
      <c r="M192" s="238"/>
      <c r="N192" s="325"/>
      <c r="O192" s="357"/>
      <c r="P192" s="355"/>
      <c r="Q192" s="355"/>
      <c r="R192" s="358"/>
      <c r="S192" s="364"/>
      <c r="T192" s="365"/>
      <c r="U192" s="325"/>
      <c r="V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  <c r="AH192" s="325"/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5"/>
      <c r="AU192" s="362"/>
      <c r="AV192" s="325"/>
      <c r="AW192" s="325"/>
      <c r="AX192" s="325"/>
      <c r="AY192" s="325"/>
      <c r="AZ192" s="325"/>
      <c r="BA192" s="325"/>
      <c r="BB192" s="325"/>
      <c r="BC192" s="325"/>
      <c r="BD192" s="325"/>
      <c r="BE192" s="325"/>
      <c r="BF192" s="325"/>
      <c r="BG192" s="325"/>
      <c r="BH192" s="325"/>
    </row>
    <row r="193" spans="2:60" x14ac:dyDescent="0.2">
      <c r="B193" s="68"/>
      <c r="C193" s="328"/>
      <c r="D193" s="363"/>
      <c r="E193" s="354"/>
      <c r="F193" s="355"/>
      <c r="G193" s="356"/>
      <c r="H193" s="238"/>
      <c r="I193" s="238"/>
      <c r="J193" s="238"/>
      <c r="K193" s="238"/>
      <c r="L193" s="238"/>
      <c r="M193" s="238"/>
      <c r="N193" s="235">
        <f>SUM(N183:N192)</f>
        <v>59462343</v>
      </c>
      <c r="O193" s="357"/>
      <c r="P193" s="355"/>
      <c r="Q193" s="355"/>
      <c r="R193" s="358"/>
      <c r="S193" s="364"/>
      <c r="T193" s="365"/>
      <c r="U193" s="235">
        <f>SUM(U183:U192)</f>
        <v>1238798.8125000002</v>
      </c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235">
        <f>SUM(AH183:AH192)</f>
        <v>5727985.458333333</v>
      </c>
      <c r="AI193" s="235">
        <f>SUM(AI183:AI192)</f>
        <v>5727985.458333333</v>
      </c>
      <c r="AJ193" s="235">
        <f>SUM(AJ183:AJ192)</f>
        <v>53734357.541666664</v>
      </c>
      <c r="AK193" s="366"/>
      <c r="AL193" s="366"/>
      <c r="AM193" s="235">
        <f t="shared" ref="AM193:AO193" si="566">SUM(AM183:AM192)</f>
        <v>14865585.75</v>
      </c>
      <c r="AN193" s="235">
        <f t="shared" si="566"/>
        <v>20593571.208333332</v>
      </c>
      <c r="AO193" s="235">
        <f t="shared" si="566"/>
        <v>38868771.791666664</v>
      </c>
      <c r="AP193" s="366"/>
      <c r="AQ193" s="366"/>
      <c r="AR193" s="235">
        <f t="shared" ref="AR193:AT193" si="567">SUM(AR183:AR192)</f>
        <v>14865585.75</v>
      </c>
      <c r="AS193" s="235">
        <f t="shared" si="567"/>
        <v>35459156.958333336</v>
      </c>
      <c r="AT193" s="235">
        <f t="shared" si="567"/>
        <v>24003186.041666668</v>
      </c>
      <c r="AU193" s="362"/>
      <c r="AV193" s="235">
        <f t="shared" ref="AV193:BH193" si="568">SUM(AV183:AV192)</f>
        <v>14865585.75</v>
      </c>
      <c r="AW193" s="235">
        <f t="shared" si="568"/>
        <v>1238798.8125000002</v>
      </c>
      <c r="AX193" s="235">
        <f t="shared" si="568"/>
        <v>1238798.8125000002</v>
      </c>
      <c r="AY193" s="235">
        <f t="shared" si="568"/>
        <v>1238798.8125000002</v>
      </c>
      <c r="AZ193" s="235">
        <f t="shared" si="568"/>
        <v>1238798.8125000002</v>
      </c>
      <c r="BA193" s="235">
        <f t="shared" si="568"/>
        <v>1238798.8125000002</v>
      </c>
      <c r="BB193" s="235">
        <f t="shared" si="568"/>
        <v>1238798.8125000002</v>
      </c>
      <c r="BC193" s="235">
        <f t="shared" si="568"/>
        <v>1238798.8125000002</v>
      </c>
      <c r="BD193" s="235">
        <f t="shared" si="568"/>
        <v>1238798.8125000002</v>
      </c>
      <c r="BE193" s="235">
        <f t="shared" si="568"/>
        <v>1238798.8125000002</v>
      </c>
      <c r="BF193" s="235">
        <f t="shared" si="568"/>
        <v>1238798.8125000002</v>
      </c>
      <c r="BG193" s="235">
        <f t="shared" si="568"/>
        <v>1238798.8125000002</v>
      </c>
      <c r="BH193" s="235">
        <f t="shared" si="568"/>
        <v>1238798.8125000002</v>
      </c>
    </row>
    <row r="194" spans="2:60" x14ac:dyDescent="0.2">
      <c r="B194" s="68"/>
      <c r="C194" s="328"/>
      <c r="D194" s="363"/>
      <c r="E194" s="354"/>
      <c r="F194" s="355"/>
      <c r="G194" s="356"/>
      <c r="H194" s="238"/>
      <c r="I194" s="238"/>
      <c r="J194" s="238"/>
      <c r="K194" s="238"/>
      <c r="L194" s="238"/>
      <c r="M194" s="238"/>
      <c r="N194" s="366"/>
      <c r="O194" s="357"/>
      <c r="P194" s="355"/>
      <c r="Q194" s="355"/>
      <c r="R194" s="358"/>
      <c r="S194" s="364"/>
      <c r="T194" s="365"/>
      <c r="U194" s="366"/>
      <c r="V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  <c r="AH194" s="366"/>
      <c r="AI194" s="366"/>
      <c r="AJ194" s="366"/>
      <c r="AK194" s="366"/>
      <c r="AL194" s="366"/>
      <c r="AM194" s="366"/>
      <c r="AN194" s="366"/>
      <c r="AO194" s="366"/>
      <c r="AP194" s="366"/>
      <c r="AQ194" s="366"/>
      <c r="AR194" s="366"/>
      <c r="AS194" s="366"/>
      <c r="AT194" s="366"/>
      <c r="AU194" s="362"/>
      <c r="AV194" s="366"/>
      <c r="AW194" s="366"/>
      <c r="AX194" s="366"/>
      <c r="AY194" s="366"/>
      <c r="AZ194" s="366"/>
      <c r="BA194" s="366"/>
      <c r="BB194" s="366"/>
      <c r="BC194" s="366"/>
      <c r="BD194" s="366"/>
      <c r="BE194" s="366"/>
      <c r="BF194" s="366"/>
      <c r="BG194" s="366"/>
      <c r="BH194" s="366"/>
    </row>
    <row r="195" spans="2:60" x14ac:dyDescent="0.2">
      <c r="B195" s="68"/>
      <c r="C195" s="89">
        <v>45672</v>
      </c>
      <c r="D195" s="70"/>
      <c r="E195" s="71">
        <v>1</v>
      </c>
      <c r="F195" s="72" t="s">
        <v>454</v>
      </c>
      <c r="G195" s="356">
        <v>0.25</v>
      </c>
      <c r="H195" s="238"/>
      <c r="I195" s="238"/>
      <c r="J195" s="238"/>
      <c r="K195" s="238"/>
      <c r="L195" s="238"/>
      <c r="M195" s="238"/>
      <c r="N195" s="325">
        <v>7757855</v>
      </c>
      <c r="O195" s="357">
        <f t="shared" ref="O195:O197" si="569">100%/G195</f>
        <v>4</v>
      </c>
      <c r="P195" s="355">
        <f t="shared" ref="P195:P197" si="570">O195*12</f>
        <v>48</v>
      </c>
      <c r="Q195" s="355">
        <f t="shared" ref="Q195:Q197" si="571">MONTH(C195)</f>
        <v>1</v>
      </c>
      <c r="R195" s="358">
        <f t="shared" ref="R195:R197" si="572">YEAR(C195)</f>
        <v>2025</v>
      </c>
      <c r="S195" s="359">
        <f t="shared" ref="S195:S197" si="573">IF(Q195=1, 12, Q195-1)</f>
        <v>12</v>
      </c>
      <c r="T195" s="360">
        <f t="shared" ref="T195:T197" si="574">IF(Q195=1,R195+O195-1,R195+O195)</f>
        <v>2028</v>
      </c>
      <c r="U195" s="194">
        <f t="shared" ref="U195:U197" si="575">N195/P195</f>
        <v>161621.97916666666</v>
      </c>
      <c r="V195" s="361"/>
      <c r="W195" s="361"/>
      <c r="X195" s="194"/>
      <c r="Y195" s="194"/>
      <c r="Z195" s="194"/>
      <c r="AA195" s="361"/>
      <c r="AB195" s="361"/>
      <c r="AC195" s="194">
        <f t="shared" ref="AC195:AC197" si="576">+AA195*U195</f>
        <v>0</v>
      </c>
      <c r="AD195" s="194"/>
      <c r="AE195" s="194"/>
      <c r="AF195" s="361"/>
      <c r="AG195" s="361"/>
      <c r="AH195" s="194"/>
      <c r="AI195" s="194"/>
      <c r="AJ195" s="194"/>
      <c r="AK195" s="73">
        <f t="shared" ref="AK195:AK197" si="577">IF(AG195&gt;=P195-12,P195-AG195,12)</f>
        <v>12</v>
      </c>
      <c r="AL195" s="73">
        <f t="shared" ref="AL195:AL196" si="578">+AG195+AK195</f>
        <v>12</v>
      </c>
      <c r="AM195" s="96">
        <f t="shared" ref="AM195:AM197" si="579">+AK195*U195</f>
        <v>1939463.75</v>
      </c>
      <c r="AN195" s="96">
        <f t="shared" ref="AN195:AN197" si="580">AI195+AM195</f>
        <v>1939463.75</v>
      </c>
      <c r="AO195" s="96">
        <f>N195-AN195</f>
        <v>5818391.25</v>
      </c>
      <c r="AP195" s="73">
        <f t="shared" ref="AP195:AP204" si="581">IF(AL195&gt;=P195-12,P195-AL195,12)</f>
        <v>12</v>
      </c>
      <c r="AQ195" s="73">
        <f t="shared" ref="AQ195:AQ196" si="582">+AL195+AP195</f>
        <v>24</v>
      </c>
      <c r="AR195" s="96">
        <f t="shared" ref="AR195:AR204" si="583">+AP195*U195</f>
        <v>1939463.75</v>
      </c>
      <c r="AS195" s="96">
        <f t="shared" ref="AS195:AS204" si="584">AN195+AR195</f>
        <v>3878927.5</v>
      </c>
      <c r="AT195" s="96">
        <f t="shared" ref="AT195:AT204" si="585">N195-AS195</f>
        <v>3878927.5</v>
      </c>
      <c r="AU195" s="362"/>
      <c r="AV195" s="202">
        <f t="shared" ref="AV195:AV197" si="586">SUM(AW195:BH195)</f>
        <v>1939463.7500000002</v>
      </c>
      <c r="AW195" s="203">
        <f t="shared" ref="AW195:AW197" si="587">+U195*1</f>
        <v>161621.97916666666</v>
      </c>
      <c r="AX195" s="203">
        <f t="shared" ref="AX195:AX197" si="588">+U195*1</f>
        <v>161621.97916666666</v>
      </c>
      <c r="AY195" s="203">
        <f t="shared" ref="AY195:AY197" si="589">+U195*1</f>
        <v>161621.97916666666</v>
      </c>
      <c r="AZ195" s="203">
        <f t="shared" ref="AZ195:AZ197" si="590">+U195*1</f>
        <v>161621.97916666666</v>
      </c>
      <c r="BA195" s="203">
        <f t="shared" ref="BA195:BA197" si="591">+U195*1</f>
        <v>161621.97916666666</v>
      </c>
      <c r="BB195" s="203">
        <f t="shared" ref="BB195:BB197" si="592">+U195*1</f>
        <v>161621.97916666666</v>
      </c>
      <c r="BC195" s="203">
        <f t="shared" ref="BC195:BC197" si="593">+U195*1</f>
        <v>161621.97916666666</v>
      </c>
      <c r="BD195" s="203">
        <f t="shared" ref="BD195:BD197" si="594">+U195*1</f>
        <v>161621.97916666666</v>
      </c>
      <c r="BE195" s="203">
        <f t="shared" ref="BE195:BE197" si="595">+U195*1</f>
        <v>161621.97916666666</v>
      </c>
      <c r="BF195" s="203">
        <f t="shared" ref="BF195:BF197" si="596">+U195*1</f>
        <v>161621.97916666666</v>
      </c>
      <c r="BG195" s="203">
        <f t="shared" ref="BG195:BG197" si="597">+U195*1</f>
        <v>161621.97916666666</v>
      </c>
      <c r="BH195" s="203">
        <f t="shared" ref="BH195:BH197" si="598">+U195*1</f>
        <v>161621.97916666666</v>
      </c>
    </row>
    <row r="196" spans="2:60" x14ac:dyDescent="0.2">
      <c r="B196" s="68"/>
      <c r="C196" s="89">
        <v>45680</v>
      </c>
      <c r="D196" s="268" t="s">
        <v>452</v>
      </c>
      <c r="E196" s="71">
        <v>1</v>
      </c>
      <c r="F196" s="72" t="s">
        <v>455</v>
      </c>
      <c r="G196" s="356">
        <v>0.25</v>
      </c>
      <c r="H196" s="238"/>
      <c r="I196" s="238"/>
      <c r="J196" s="238"/>
      <c r="K196" s="238"/>
      <c r="L196" s="238"/>
      <c r="M196" s="238"/>
      <c r="N196" s="325">
        <v>4670200</v>
      </c>
      <c r="O196" s="357">
        <f t="shared" si="569"/>
        <v>4</v>
      </c>
      <c r="P196" s="355">
        <f t="shared" si="570"/>
        <v>48</v>
      </c>
      <c r="Q196" s="355">
        <f t="shared" si="571"/>
        <v>1</v>
      </c>
      <c r="R196" s="358">
        <f t="shared" si="572"/>
        <v>2025</v>
      </c>
      <c r="S196" s="359">
        <f t="shared" si="573"/>
        <v>12</v>
      </c>
      <c r="T196" s="360">
        <f t="shared" si="574"/>
        <v>2028</v>
      </c>
      <c r="U196" s="194">
        <f t="shared" si="575"/>
        <v>97295.833333333328</v>
      </c>
      <c r="V196" s="361"/>
      <c r="W196" s="361"/>
      <c r="X196" s="194"/>
      <c r="Y196" s="194"/>
      <c r="Z196" s="194"/>
      <c r="AA196" s="361"/>
      <c r="AB196" s="361"/>
      <c r="AC196" s="194">
        <f t="shared" si="576"/>
        <v>0</v>
      </c>
      <c r="AD196" s="194"/>
      <c r="AE196" s="194"/>
      <c r="AF196" s="361"/>
      <c r="AG196" s="361"/>
      <c r="AH196" s="194"/>
      <c r="AI196" s="194"/>
      <c r="AJ196" s="194"/>
      <c r="AK196" s="73">
        <f t="shared" si="577"/>
        <v>12</v>
      </c>
      <c r="AL196" s="73">
        <f t="shared" si="578"/>
        <v>12</v>
      </c>
      <c r="AM196" s="96">
        <f t="shared" si="579"/>
        <v>1167550</v>
      </c>
      <c r="AN196" s="96">
        <f t="shared" si="580"/>
        <v>1167550</v>
      </c>
      <c r="AO196" s="96">
        <f t="shared" ref="AO196:AO197" si="599">N196-AN196</f>
        <v>3502650</v>
      </c>
      <c r="AP196" s="73">
        <f t="shared" si="581"/>
        <v>12</v>
      </c>
      <c r="AQ196" s="73">
        <f t="shared" si="582"/>
        <v>24</v>
      </c>
      <c r="AR196" s="96">
        <f t="shared" si="583"/>
        <v>1167550</v>
      </c>
      <c r="AS196" s="96">
        <f t="shared" si="584"/>
        <v>2335100</v>
      </c>
      <c r="AT196" s="96">
        <f t="shared" si="585"/>
        <v>2335100</v>
      </c>
      <c r="AU196" s="362"/>
      <c r="AV196" s="202">
        <f t="shared" si="586"/>
        <v>1167550</v>
      </c>
      <c r="AW196" s="203">
        <f t="shared" si="587"/>
        <v>97295.833333333328</v>
      </c>
      <c r="AX196" s="203">
        <f t="shared" si="588"/>
        <v>97295.833333333328</v>
      </c>
      <c r="AY196" s="203">
        <f t="shared" si="589"/>
        <v>97295.833333333328</v>
      </c>
      <c r="AZ196" s="203">
        <f t="shared" si="590"/>
        <v>97295.833333333328</v>
      </c>
      <c r="BA196" s="203">
        <f t="shared" si="591"/>
        <v>97295.833333333328</v>
      </c>
      <c r="BB196" s="203">
        <f t="shared" si="592"/>
        <v>97295.833333333328</v>
      </c>
      <c r="BC196" s="203">
        <f t="shared" si="593"/>
        <v>97295.833333333328</v>
      </c>
      <c r="BD196" s="203">
        <f t="shared" si="594"/>
        <v>97295.833333333328</v>
      </c>
      <c r="BE196" s="203">
        <f t="shared" si="595"/>
        <v>97295.833333333328</v>
      </c>
      <c r="BF196" s="203">
        <f t="shared" si="596"/>
        <v>97295.833333333328</v>
      </c>
      <c r="BG196" s="203">
        <f t="shared" si="597"/>
        <v>97295.833333333328</v>
      </c>
      <c r="BH196" s="203">
        <f t="shared" si="598"/>
        <v>97295.833333333328</v>
      </c>
    </row>
    <row r="197" spans="2:60" x14ac:dyDescent="0.2">
      <c r="B197" s="68"/>
      <c r="C197" s="89">
        <v>45681</v>
      </c>
      <c r="D197" s="268" t="s">
        <v>453</v>
      </c>
      <c r="E197" s="71">
        <v>2</v>
      </c>
      <c r="F197" s="72" t="s">
        <v>456</v>
      </c>
      <c r="G197" s="356">
        <v>0.25</v>
      </c>
      <c r="H197" s="238"/>
      <c r="I197" s="238"/>
      <c r="J197" s="238"/>
      <c r="K197" s="238"/>
      <c r="L197" s="238"/>
      <c r="M197" s="238"/>
      <c r="N197" s="325">
        <v>3706712</v>
      </c>
      <c r="O197" s="357">
        <f t="shared" si="569"/>
        <v>4</v>
      </c>
      <c r="P197" s="355">
        <f t="shared" si="570"/>
        <v>48</v>
      </c>
      <c r="Q197" s="355">
        <f t="shared" si="571"/>
        <v>1</v>
      </c>
      <c r="R197" s="358">
        <f t="shared" si="572"/>
        <v>2025</v>
      </c>
      <c r="S197" s="359">
        <f t="shared" si="573"/>
        <v>12</v>
      </c>
      <c r="T197" s="360">
        <f t="shared" si="574"/>
        <v>2028</v>
      </c>
      <c r="U197" s="194">
        <f t="shared" si="575"/>
        <v>77223.166666666672</v>
      </c>
      <c r="V197" s="361"/>
      <c r="W197" s="361"/>
      <c r="X197" s="194"/>
      <c r="Y197" s="194"/>
      <c r="Z197" s="194"/>
      <c r="AA197" s="361"/>
      <c r="AB197" s="361"/>
      <c r="AC197" s="194">
        <f t="shared" si="576"/>
        <v>0</v>
      </c>
      <c r="AD197" s="194"/>
      <c r="AE197" s="194"/>
      <c r="AF197" s="361"/>
      <c r="AG197" s="361"/>
      <c r="AH197" s="194"/>
      <c r="AI197" s="194"/>
      <c r="AJ197" s="194"/>
      <c r="AK197" s="73">
        <f t="shared" si="577"/>
        <v>12</v>
      </c>
      <c r="AL197" s="73">
        <f>+AG197+AK197</f>
        <v>12</v>
      </c>
      <c r="AM197" s="96">
        <f t="shared" si="579"/>
        <v>926678</v>
      </c>
      <c r="AN197" s="96">
        <f t="shared" si="580"/>
        <v>926678</v>
      </c>
      <c r="AO197" s="96">
        <f t="shared" si="599"/>
        <v>2780034</v>
      </c>
      <c r="AP197" s="73">
        <f t="shared" si="581"/>
        <v>12</v>
      </c>
      <c r="AQ197" s="73">
        <f>+AL197+AP197</f>
        <v>24</v>
      </c>
      <c r="AR197" s="96">
        <f t="shared" si="583"/>
        <v>926678</v>
      </c>
      <c r="AS197" s="96">
        <f t="shared" si="584"/>
        <v>1853356</v>
      </c>
      <c r="AT197" s="96">
        <f t="shared" si="585"/>
        <v>1853356</v>
      </c>
      <c r="AU197" s="362"/>
      <c r="AV197" s="202">
        <f t="shared" si="586"/>
        <v>926677.99999999988</v>
      </c>
      <c r="AW197" s="203">
        <f t="shared" si="587"/>
        <v>77223.166666666672</v>
      </c>
      <c r="AX197" s="203">
        <f t="shared" si="588"/>
        <v>77223.166666666672</v>
      </c>
      <c r="AY197" s="203">
        <f t="shared" si="589"/>
        <v>77223.166666666672</v>
      </c>
      <c r="AZ197" s="203">
        <f t="shared" si="590"/>
        <v>77223.166666666672</v>
      </c>
      <c r="BA197" s="203">
        <f t="shared" si="591"/>
        <v>77223.166666666672</v>
      </c>
      <c r="BB197" s="203">
        <f t="shared" si="592"/>
        <v>77223.166666666672</v>
      </c>
      <c r="BC197" s="203">
        <f t="shared" si="593"/>
        <v>77223.166666666672</v>
      </c>
      <c r="BD197" s="203">
        <f t="shared" si="594"/>
        <v>77223.166666666672</v>
      </c>
      <c r="BE197" s="203">
        <f t="shared" si="595"/>
        <v>77223.166666666672</v>
      </c>
      <c r="BF197" s="203">
        <f t="shared" si="596"/>
        <v>77223.166666666672</v>
      </c>
      <c r="BG197" s="203">
        <f t="shared" si="597"/>
        <v>77223.166666666672</v>
      </c>
      <c r="BH197" s="203">
        <f t="shared" si="598"/>
        <v>77223.166666666672</v>
      </c>
    </row>
    <row r="198" spans="2:60" x14ac:dyDescent="0.2">
      <c r="B198" s="68"/>
      <c r="C198" s="89">
        <v>45730</v>
      </c>
      <c r="D198" s="268" t="s">
        <v>458</v>
      </c>
      <c r="E198" s="71">
        <v>5</v>
      </c>
      <c r="F198" s="72" t="s">
        <v>459</v>
      </c>
      <c r="G198" s="356">
        <v>0.25</v>
      </c>
      <c r="H198" s="238"/>
      <c r="I198" s="238"/>
      <c r="J198" s="238"/>
      <c r="K198" s="238"/>
      <c r="L198" s="238"/>
      <c r="M198" s="238"/>
      <c r="N198" s="325">
        <v>4400000</v>
      </c>
      <c r="O198" s="357">
        <f t="shared" ref="O198" si="600">100%/G198</f>
        <v>4</v>
      </c>
      <c r="P198" s="355">
        <f t="shared" ref="P198" si="601">O198*12</f>
        <v>48</v>
      </c>
      <c r="Q198" s="355">
        <f t="shared" ref="Q198" si="602">MONTH(C198)</f>
        <v>3</v>
      </c>
      <c r="R198" s="358">
        <f t="shared" ref="R198" si="603">YEAR(C198)</f>
        <v>2025</v>
      </c>
      <c r="S198" s="359">
        <f t="shared" ref="S198" si="604">IF(Q198=1, 12, Q198-1)</f>
        <v>2</v>
      </c>
      <c r="T198" s="360">
        <f t="shared" ref="T198" si="605">IF(Q198=1,R198+O198-1,R198+O198)</f>
        <v>2029</v>
      </c>
      <c r="U198" s="194">
        <f t="shared" ref="U198" si="606">N198/P198</f>
        <v>91666.666666666672</v>
      </c>
      <c r="V198" s="361"/>
      <c r="W198" s="361"/>
      <c r="X198" s="194"/>
      <c r="Y198" s="194"/>
      <c r="Z198" s="194"/>
      <c r="AA198" s="361"/>
      <c r="AB198" s="361"/>
      <c r="AC198" s="194">
        <f t="shared" ref="AC198" si="607">+AA198*U198</f>
        <v>0</v>
      </c>
      <c r="AD198" s="194"/>
      <c r="AE198" s="194"/>
      <c r="AF198" s="361"/>
      <c r="AG198" s="361"/>
      <c r="AH198" s="194"/>
      <c r="AI198" s="194"/>
      <c r="AJ198" s="194"/>
      <c r="AK198" s="73">
        <f>IF(AG198&gt;=P198-10,P198-AG198,10)</f>
        <v>10</v>
      </c>
      <c r="AL198" s="73">
        <f>+AG198+AK198</f>
        <v>10</v>
      </c>
      <c r="AM198" s="96">
        <f t="shared" ref="AM198" si="608">+AK198*U198</f>
        <v>916666.66666666674</v>
      </c>
      <c r="AN198" s="96">
        <f t="shared" ref="AN198" si="609">AI198+AM198</f>
        <v>916666.66666666674</v>
      </c>
      <c r="AO198" s="96">
        <f t="shared" ref="AO198" si="610">N198-AN198</f>
        <v>3483333.333333333</v>
      </c>
      <c r="AP198" s="73">
        <f t="shared" si="581"/>
        <v>12</v>
      </c>
      <c r="AQ198" s="73">
        <f>+AL198+AP198</f>
        <v>22</v>
      </c>
      <c r="AR198" s="96">
        <f t="shared" si="583"/>
        <v>1100000</v>
      </c>
      <c r="AS198" s="96">
        <f t="shared" si="584"/>
        <v>2016666.6666666667</v>
      </c>
      <c r="AT198" s="96">
        <f t="shared" si="585"/>
        <v>2383333.333333333</v>
      </c>
      <c r="AU198" s="362"/>
      <c r="AV198" s="202">
        <f t="shared" ref="AV198" si="611">SUM(AW198:BH198)</f>
        <v>1099999.9999999998</v>
      </c>
      <c r="AW198" s="203">
        <f t="shared" ref="AW198:AW204" si="612">+U198*1</f>
        <v>91666.666666666672</v>
      </c>
      <c r="AX198" s="203">
        <f t="shared" ref="AX198:AX204" si="613">+U198*1</f>
        <v>91666.666666666672</v>
      </c>
      <c r="AY198" s="203">
        <f t="shared" ref="AY198:AY204" si="614">+U198*1</f>
        <v>91666.666666666672</v>
      </c>
      <c r="AZ198" s="203">
        <f t="shared" ref="AZ198:AZ204" si="615">+U198*1</f>
        <v>91666.666666666672</v>
      </c>
      <c r="BA198" s="203">
        <f t="shared" ref="BA198:BA204" si="616">+U198*1</f>
        <v>91666.666666666672</v>
      </c>
      <c r="BB198" s="203">
        <f t="shared" ref="BB198:BB204" si="617">+U198*1</f>
        <v>91666.666666666672</v>
      </c>
      <c r="BC198" s="203">
        <f t="shared" ref="BC198:BC204" si="618">+U198*1</f>
        <v>91666.666666666672</v>
      </c>
      <c r="BD198" s="203">
        <f t="shared" ref="BD198:BD204" si="619">+U198*1</f>
        <v>91666.666666666672</v>
      </c>
      <c r="BE198" s="203">
        <f t="shared" ref="BE198:BE204" si="620">+U198*1</f>
        <v>91666.666666666672</v>
      </c>
      <c r="BF198" s="203">
        <f t="shared" ref="BF198:BF204" si="621">+U198*1</f>
        <v>91666.666666666672</v>
      </c>
      <c r="BG198" s="203">
        <f t="shared" ref="BG198:BG204" si="622">+U198*1</f>
        <v>91666.666666666672</v>
      </c>
      <c r="BH198" s="203">
        <f t="shared" ref="BH198:BH204" si="623">+U198*1</f>
        <v>91666.666666666672</v>
      </c>
    </row>
    <row r="199" spans="2:60" x14ac:dyDescent="0.2">
      <c r="B199" s="68"/>
      <c r="C199" s="89">
        <v>45777</v>
      </c>
      <c r="D199" s="268" t="s">
        <v>460</v>
      </c>
      <c r="E199" s="71">
        <v>1</v>
      </c>
      <c r="F199" s="72" t="s">
        <v>461</v>
      </c>
      <c r="G199" s="356">
        <v>0.25</v>
      </c>
      <c r="H199" s="238"/>
      <c r="I199" s="238"/>
      <c r="J199" s="238"/>
      <c r="K199" s="238"/>
      <c r="L199" s="238"/>
      <c r="M199" s="238"/>
      <c r="N199" s="325">
        <v>2522524</v>
      </c>
      <c r="O199" s="357">
        <f t="shared" ref="O199" si="624">100%/G199</f>
        <v>4</v>
      </c>
      <c r="P199" s="355">
        <f t="shared" ref="P199" si="625">O199*12</f>
        <v>48</v>
      </c>
      <c r="Q199" s="355">
        <f t="shared" ref="Q199" si="626">MONTH(C199)</f>
        <v>4</v>
      </c>
      <c r="R199" s="358">
        <f t="shared" ref="R199" si="627">YEAR(C199)</f>
        <v>2025</v>
      </c>
      <c r="S199" s="359">
        <f t="shared" ref="S199" si="628">IF(Q199=1, 12, Q199-1)</f>
        <v>3</v>
      </c>
      <c r="T199" s="360">
        <f t="shared" ref="T199" si="629">IF(Q199=1,R199+O199-1,R199+O199)</f>
        <v>2029</v>
      </c>
      <c r="U199" s="194">
        <f t="shared" ref="U199" si="630">N199/P199</f>
        <v>52552.583333333336</v>
      </c>
      <c r="V199" s="361"/>
      <c r="W199" s="361"/>
      <c r="X199" s="194"/>
      <c r="Y199" s="194"/>
      <c r="Z199" s="194"/>
      <c r="AA199" s="361"/>
      <c r="AB199" s="361"/>
      <c r="AC199" s="194">
        <f t="shared" ref="AC199" si="631">+AA199*U199</f>
        <v>0</v>
      </c>
      <c r="AD199" s="194"/>
      <c r="AE199" s="194"/>
      <c r="AF199" s="361"/>
      <c r="AG199" s="361"/>
      <c r="AH199" s="194"/>
      <c r="AI199" s="194"/>
      <c r="AJ199" s="194"/>
      <c r="AK199" s="73">
        <f>IF(AG199&gt;=P199-9,P199-AG199,9)</f>
        <v>9</v>
      </c>
      <c r="AL199" s="73">
        <f>+AG199+AK199</f>
        <v>9</v>
      </c>
      <c r="AM199" s="96">
        <f t="shared" ref="AM199" si="632">+AK199*U199</f>
        <v>472973.25</v>
      </c>
      <c r="AN199" s="96">
        <f t="shared" ref="AN199" si="633">AI199+AM199</f>
        <v>472973.25</v>
      </c>
      <c r="AO199" s="96">
        <f t="shared" ref="AO199" si="634">N199-AN199</f>
        <v>2049550.75</v>
      </c>
      <c r="AP199" s="73">
        <f t="shared" si="581"/>
        <v>12</v>
      </c>
      <c r="AQ199" s="73">
        <f>+AL199+AP199</f>
        <v>21</v>
      </c>
      <c r="AR199" s="96">
        <f t="shared" si="583"/>
        <v>630631</v>
      </c>
      <c r="AS199" s="96">
        <f t="shared" si="584"/>
        <v>1103604.25</v>
      </c>
      <c r="AT199" s="96">
        <f t="shared" si="585"/>
        <v>1418919.75</v>
      </c>
      <c r="AU199" s="362"/>
      <c r="AV199" s="202">
        <f t="shared" ref="AV199" si="635">SUM(AW199:BH199)</f>
        <v>630631</v>
      </c>
      <c r="AW199" s="203">
        <f t="shared" si="612"/>
        <v>52552.583333333336</v>
      </c>
      <c r="AX199" s="203">
        <f t="shared" si="613"/>
        <v>52552.583333333336</v>
      </c>
      <c r="AY199" s="203">
        <f t="shared" si="614"/>
        <v>52552.583333333336</v>
      </c>
      <c r="AZ199" s="203">
        <f t="shared" si="615"/>
        <v>52552.583333333336</v>
      </c>
      <c r="BA199" s="203">
        <f t="shared" si="616"/>
        <v>52552.583333333336</v>
      </c>
      <c r="BB199" s="203">
        <f t="shared" si="617"/>
        <v>52552.583333333336</v>
      </c>
      <c r="BC199" s="203">
        <f t="shared" si="618"/>
        <v>52552.583333333336</v>
      </c>
      <c r="BD199" s="203">
        <f t="shared" si="619"/>
        <v>52552.583333333336</v>
      </c>
      <c r="BE199" s="203">
        <f t="shared" si="620"/>
        <v>52552.583333333336</v>
      </c>
      <c r="BF199" s="203">
        <f t="shared" si="621"/>
        <v>52552.583333333336</v>
      </c>
      <c r="BG199" s="203">
        <f t="shared" si="622"/>
        <v>52552.583333333336</v>
      </c>
      <c r="BH199" s="203">
        <f t="shared" si="623"/>
        <v>52552.583333333336</v>
      </c>
    </row>
    <row r="200" spans="2:60" x14ac:dyDescent="0.2">
      <c r="B200" s="68"/>
      <c r="C200" s="89">
        <v>45827</v>
      </c>
      <c r="D200" s="268" t="s">
        <v>463</v>
      </c>
      <c r="E200" s="71">
        <v>1</v>
      </c>
      <c r="F200" s="72" t="s">
        <v>464</v>
      </c>
      <c r="G200" s="356">
        <v>0.25</v>
      </c>
      <c r="H200" s="238"/>
      <c r="I200" s="238"/>
      <c r="J200" s="238"/>
      <c r="K200" s="238"/>
      <c r="L200" s="238"/>
      <c r="M200" s="238"/>
      <c r="N200" s="325">
        <v>2229500</v>
      </c>
      <c r="O200" s="357">
        <f t="shared" ref="O200" si="636">100%/G200</f>
        <v>4</v>
      </c>
      <c r="P200" s="355">
        <f t="shared" ref="P200" si="637">O200*12</f>
        <v>48</v>
      </c>
      <c r="Q200" s="355">
        <f t="shared" ref="Q200" si="638">MONTH(C200)</f>
        <v>6</v>
      </c>
      <c r="R200" s="358">
        <f t="shared" ref="R200" si="639">YEAR(C200)</f>
        <v>2025</v>
      </c>
      <c r="S200" s="359">
        <f t="shared" ref="S200" si="640">IF(Q200=1, 12, Q200-1)</f>
        <v>5</v>
      </c>
      <c r="T200" s="360">
        <f t="shared" ref="T200" si="641">IF(Q200=1,R200+O200-1,R200+O200)</f>
        <v>2029</v>
      </c>
      <c r="U200" s="194">
        <f t="shared" ref="U200" si="642">N200/P200</f>
        <v>46447.916666666664</v>
      </c>
      <c r="V200" s="361"/>
      <c r="W200" s="361"/>
      <c r="X200" s="194"/>
      <c r="Y200" s="194"/>
      <c r="Z200" s="194"/>
      <c r="AA200" s="361"/>
      <c r="AB200" s="361"/>
      <c r="AC200" s="194">
        <f t="shared" ref="AC200" si="643">+AA200*U200</f>
        <v>0</v>
      </c>
      <c r="AD200" s="194"/>
      <c r="AE200" s="194"/>
      <c r="AF200" s="361"/>
      <c r="AG200" s="361"/>
      <c r="AH200" s="194"/>
      <c r="AI200" s="194"/>
      <c r="AJ200" s="194"/>
      <c r="AK200" s="73">
        <f>IF(AG200&gt;=P200-7,P200-AG200,7)</f>
        <v>7</v>
      </c>
      <c r="AL200" s="73">
        <f>+AG200+AK200</f>
        <v>7</v>
      </c>
      <c r="AM200" s="96">
        <f t="shared" ref="AM200" si="644">+AK200*U200</f>
        <v>325135.41666666663</v>
      </c>
      <c r="AN200" s="96">
        <f t="shared" ref="AN200" si="645">AI200+AM200</f>
        <v>325135.41666666663</v>
      </c>
      <c r="AO200" s="96">
        <f t="shared" ref="AO200" si="646">N200-AN200</f>
        <v>1904364.5833333335</v>
      </c>
      <c r="AP200" s="73">
        <f t="shared" si="581"/>
        <v>12</v>
      </c>
      <c r="AQ200" s="73">
        <f>+AL200+AP200</f>
        <v>19</v>
      </c>
      <c r="AR200" s="96">
        <f t="shared" si="583"/>
        <v>557375</v>
      </c>
      <c r="AS200" s="96">
        <f t="shared" si="584"/>
        <v>882510.41666666663</v>
      </c>
      <c r="AT200" s="96">
        <f t="shared" si="585"/>
        <v>1346989.5833333335</v>
      </c>
      <c r="AU200" s="362"/>
      <c r="AV200" s="202">
        <f t="shared" ref="AV200" si="647">SUM(AW200:BH200)</f>
        <v>557375.00000000012</v>
      </c>
      <c r="AW200" s="203">
        <f t="shared" si="612"/>
        <v>46447.916666666664</v>
      </c>
      <c r="AX200" s="203">
        <f t="shared" si="613"/>
        <v>46447.916666666664</v>
      </c>
      <c r="AY200" s="203">
        <f t="shared" si="614"/>
        <v>46447.916666666664</v>
      </c>
      <c r="AZ200" s="203">
        <f t="shared" si="615"/>
        <v>46447.916666666664</v>
      </c>
      <c r="BA200" s="203">
        <f t="shared" si="616"/>
        <v>46447.916666666664</v>
      </c>
      <c r="BB200" s="203">
        <f t="shared" si="617"/>
        <v>46447.916666666664</v>
      </c>
      <c r="BC200" s="203">
        <f t="shared" si="618"/>
        <v>46447.916666666664</v>
      </c>
      <c r="BD200" s="203">
        <f t="shared" si="619"/>
        <v>46447.916666666664</v>
      </c>
      <c r="BE200" s="203">
        <f t="shared" si="620"/>
        <v>46447.916666666664</v>
      </c>
      <c r="BF200" s="203">
        <f t="shared" si="621"/>
        <v>46447.916666666664</v>
      </c>
      <c r="BG200" s="203">
        <f t="shared" si="622"/>
        <v>46447.916666666664</v>
      </c>
      <c r="BH200" s="203">
        <f t="shared" si="623"/>
        <v>46447.916666666664</v>
      </c>
    </row>
    <row r="201" spans="2:60" x14ac:dyDescent="0.2">
      <c r="B201" s="68"/>
      <c r="C201" s="89">
        <v>45917</v>
      </c>
      <c r="D201" s="268" t="s">
        <v>466</v>
      </c>
      <c r="E201" s="71">
        <v>1</v>
      </c>
      <c r="F201" s="72" t="s">
        <v>467</v>
      </c>
      <c r="G201" s="356">
        <v>0.25</v>
      </c>
      <c r="H201" s="238"/>
      <c r="I201" s="238"/>
      <c r="J201" s="238"/>
      <c r="K201" s="238"/>
      <c r="L201" s="238"/>
      <c r="M201" s="238"/>
      <c r="N201" s="325">
        <v>18866600</v>
      </c>
      <c r="O201" s="357">
        <f t="shared" ref="O201:O202" si="648">100%/G201</f>
        <v>4</v>
      </c>
      <c r="P201" s="355">
        <f t="shared" ref="P201:P202" si="649">O201*12</f>
        <v>48</v>
      </c>
      <c r="Q201" s="355">
        <f t="shared" ref="Q201:Q202" si="650">MONTH(C201)</f>
        <v>9</v>
      </c>
      <c r="R201" s="358">
        <f t="shared" ref="R201:R202" si="651">YEAR(C201)</f>
        <v>2025</v>
      </c>
      <c r="S201" s="359">
        <f t="shared" ref="S201:S202" si="652">IF(Q201=1, 12, Q201-1)</f>
        <v>8</v>
      </c>
      <c r="T201" s="360">
        <f t="shared" ref="T201:T202" si="653">IF(Q201=1,R201+O201-1,R201+O201)</f>
        <v>2029</v>
      </c>
      <c r="U201" s="194">
        <f t="shared" ref="U201:U202" si="654">N201/P201</f>
        <v>393054.16666666669</v>
      </c>
      <c r="V201" s="361"/>
      <c r="W201" s="361"/>
      <c r="X201" s="194"/>
      <c r="Y201" s="194"/>
      <c r="Z201" s="194"/>
      <c r="AA201" s="361"/>
      <c r="AB201" s="361"/>
      <c r="AC201" s="194">
        <f t="shared" ref="AC201:AC202" si="655">+AA201*U201</f>
        <v>0</v>
      </c>
      <c r="AD201" s="194"/>
      <c r="AE201" s="194"/>
      <c r="AF201" s="361"/>
      <c r="AG201" s="361"/>
      <c r="AH201" s="194"/>
      <c r="AI201" s="194"/>
      <c r="AJ201" s="194"/>
      <c r="AK201" s="73">
        <f>IF(AG201&gt;=P201-4,P201-AG201,4)</f>
        <v>4</v>
      </c>
      <c r="AL201" s="73">
        <f t="shared" ref="AL201:AL202" si="656">+AG201+AK201</f>
        <v>4</v>
      </c>
      <c r="AM201" s="96">
        <f t="shared" ref="AM201:AM202" si="657">+AK201*U201</f>
        <v>1572216.6666666667</v>
      </c>
      <c r="AN201" s="96">
        <f t="shared" ref="AN201:AN202" si="658">AI201+AM201</f>
        <v>1572216.6666666667</v>
      </c>
      <c r="AO201" s="96">
        <f t="shared" ref="AO201:AO202" si="659">N201-AN201</f>
        <v>17294383.333333332</v>
      </c>
      <c r="AP201" s="73">
        <f t="shared" si="581"/>
        <v>12</v>
      </c>
      <c r="AQ201" s="73">
        <f t="shared" ref="AQ201:AQ204" si="660">+AL201+AP201</f>
        <v>16</v>
      </c>
      <c r="AR201" s="96">
        <f t="shared" si="583"/>
        <v>4716650</v>
      </c>
      <c r="AS201" s="96">
        <f t="shared" si="584"/>
        <v>6288866.666666667</v>
      </c>
      <c r="AT201" s="96">
        <f t="shared" si="585"/>
        <v>12577733.333333332</v>
      </c>
      <c r="AU201" s="362"/>
      <c r="AV201" s="202">
        <f t="shared" ref="AV201:AV202" si="661">SUM(AW201:BH201)</f>
        <v>4716650</v>
      </c>
      <c r="AW201" s="203">
        <f t="shared" si="612"/>
        <v>393054.16666666669</v>
      </c>
      <c r="AX201" s="203">
        <f t="shared" si="613"/>
        <v>393054.16666666669</v>
      </c>
      <c r="AY201" s="203">
        <f t="shared" si="614"/>
        <v>393054.16666666669</v>
      </c>
      <c r="AZ201" s="203">
        <f t="shared" si="615"/>
        <v>393054.16666666669</v>
      </c>
      <c r="BA201" s="203">
        <f t="shared" si="616"/>
        <v>393054.16666666669</v>
      </c>
      <c r="BB201" s="203">
        <f t="shared" si="617"/>
        <v>393054.16666666669</v>
      </c>
      <c r="BC201" s="203">
        <f t="shared" si="618"/>
        <v>393054.16666666669</v>
      </c>
      <c r="BD201" s="203">
        <f t="shared" si="619"/>
        <v>393054.16666666669</v>
      </c>
      <c r="BE201" s="203">
        <f t="shared" si="620"/>
        <v>393054.16666666669</v>
      </c>
      <c r="BF201" s="203">
        <f t="shared" si="621"/>
        <v>393054.16666666669</v>
      </c>
      <c r="BG201" s="203">
        <f t="shared" si="622"/>
        <v>393054.16666666669</v>
      </c>
      <c r="BH201" s="203">
        <f t="shared" si="623"/>
        <v>393054.16666666669</v>
      </c>
    </row>
    <row r="202" spans="2:60" x14ac:dyDescent="0.2">
      <c r="B202" s="68"/>
      <c r="C202" s="89">
        <v>45923</v>
      </c>
      <c r="D202" s="268" t="s">
        <v>468</v>
      </c>
      <c r="E202" s="71">
        <v>1</v>
      </c>
      <c r="F202" s="72" t="s">
        <v>469</v>
      </c>
      <c r="G202" s="356">
        <v>0.25</v>
      </c>
      <c r="H202" s="238"/>
      <c r="I202" s="238"/>
      <c r="J202" s="238"/>
      <c r="K202" s="238"/>
      <c r="L202" s="238"/>
      <c r="M202" s="238"/>
      <c r="N202" s="325">
        <v>2388155</v>
      </c>
      <c r="O202" s="357">
        <f t="shared" si="648"/>
        <v>4</v>
      </c>
      <c r="P202" s="355">
        <f t="shared" si="649"/>
        <v>48</v>
      </c>
      <c r="Q202" s="355">
        <f t="shared" si="650"/>
        <v>9</v>
      </c>
      <c r="R202" s="358">
        <f t="shared" si="651"/>
        <v>2025</v>
      </c>
      <c r="S202" s="359">
        <f t="shared" si="652"/>
        <v>8</v>
      </c>
      <c r="T202" s="360">
        <f t="shared" si="653"/>
        <v>2029</v>
      </c>
      <c r="U202" s="194">
        <f t="shared" si="654"/>
        <v>49753.229166666664</v>
      </c>
      <c r="V202" s="361"/>
      <c r="W202" s="361"/>
      <c r="X202" s="194"/>
      <c r="Y202" s="194"/>
      <c r="Z202" s="194"/>
      <c r="AA202" s="361"/>
      <c r="AB202" s="361"/>
      <c r="AC202" s="194">
        <f t="shared" si="655"/>
        <v>0</v>
      </c>
      <c r="AD202" s="194"/>
      <c r="AE202" s="194"/>
      <c r="AF202" s="361"/>
      <c r="AG202" s="361"/>
      <c r="AH202" s="194"/>
      <c r="AI202" s="194"/>
      <c r="AJ202" s="194"/>
      <c r="AK202" s="73">
        <f>IF(AG202&gt;=P202-4,P202-AG202,4)</f>
        <v>4</v>
      </c>
      <c r="AL202" s="73">
        <f t="shared" si="656"/>
        <v>4</v>
      </c>
      <c r="AM202" s="96">
        <f t="shared" si="657"/>
        <v>199012.91666666666</v>
      </c>
      <c r="AN202" s="96">
        <f t="shared" si="658"/>
        <v>199012.91666666666</v>
      </c>
      <c r="AO202" s="96">
        <f t="shared" si="659"/>
        <v>2189142.0833333335</v>
      </c>
      <c r="AP202" s="73">
        <f t="shared" si="581"/>
        <v>12</v>
      </c>
      <c r="AQ202" s="73">
        <f t="shared" si="660"/>
        <v>16</v>
      </c>
      <c r="AR202" s="96">
        <f t="shared" si="583"/>
        <v>597038.75</v>
      </c>
      <c r="AS202" s="96">
        <f t="shared" si="584"/>
        <v>796051.66666666663</v>
      </c>
      <c r="AT202" s="96">
        <f t="shared" si="585"/>
        <v>1592103.3333333335</v>
      </c>
      <c r="AU202" s="362"/>
      <c r="AV202" s="202">
        <f t="shared" si="661"/>
        <v>597038.75</v>
      </c>
      <c r="AW202" s="203">
        <f t="shared" si="612"/>
        <v>49753.229166666664</v>
      </c>
      <c r="AX202" s="203">
        <f t="shared" si="613"/>
        <v>49753.229166666664</v>
      </c>
      <c r="AY202" s="203">
        <f t="shared" si="614"/>
        <v>49753.229166666664</v>
      </c>
      <c r="AZ202" s="203">
        <f t="shared" si="615"/>
        <v>49753.229166666664</v>
      </c>
      <c r="BA202" s="203">
        <f t="shared" si="616"/>
        <v>49753.229166666664</v>
      </c>
      <c r="BB202" s="203">
        <f t="shared" si="617"/>
        <v>49753.229166666664</v>
      </c>
      <c r="BC202" s="203">
        <f t="shared" si="618"/>
        <v>49753.229166666664</v>
      </c>
      <c r="BD202" s="203">
        <f t="shared" si="619"/>
        <v>49753.229166666664</v>
      </c>
      <c r="BE202" s="203">
        <f t="shared" si="620"/>
        <v>49753.229166666664</v>
      </c>
      <c r="BF202" s="203">
        <f t="shared" si="621"/>
        <v>49753.229166666664</v>
      </c>
      <c r="BG202" s="203">
        <f t="shared" si="622"/>
        <v>49753.229166666664</v>
      </c>
      <c r="BH202" s="203">
        <f t="shared" si="623"/>
        <v>49753.229166666664</v>
      </c>
    </row>
    <row r="203" spans="2:60" x14ac:dyDescent="0.2">
      <c r="B203" s="68"/>
      <c r="C203" s="89">
        <v>45967</v>
      </c>
      <c r="D203" s="268" t="s">
        <v>470</v>
      </c>
      <c r="E203" s="71">
        <v>1</v>
      </c>
      <c r="F203" s="72" t="s">
        <v>469</v>
      </c>
      <c r="G203" s="356">
        <v>0.25</v>
      </c>
      <c r="H203" s="238"/>
      <c r="I203" s="238"/>
      <c r="J203" s="238"/>
      <c r="K203" s="238"/>
      <c r="L203" s="238"/>
      <c r="M203" s="238"/>
      <c r="N203" s="325">
        <v>2073400</v>
      </c>
      <c r="O203" s="357">
        <f t="shared" ref="O203" si="662">100%/G203</f>
        <v>4</v>
      </c>
      <c r="P203" s="355">
        <f t="shared" ref="P203" si="663">O203*12</f>
        <v>48</v>
      </c>
      <c r="Q203" s="355">
        <f t="shared" ref="Q203" si="664">MONTH(C203)</f>
        <v>11</v>
      </c>
      <c r="R203" s="358">
        <f t="shared" ref="R203" si="665">YEAR(C203)</f>
        <v>2025</v>
      </c>
      <c r="S203" s="359">
        <f t="shared" ref="S203" si="666">IF(Q203=1, 12, Q203-1)</f>
        <v>10</v>
      </c>
      <c r="T203" s="360">
        <f t="shared" ref="T203" si="667">IF(Q203=1,R203+O203-1,R203+O203)</f>
        <v>2029</v>
      </c>
      <c r="U203" s="194">
        <f t="shared" ref="U203" si="668">N203/P203</f>
        <v>43195.833333333336</v>
      </c>
      <c r="V203" s="361"/>
      <c r="W203" s="361"/>
      <c r="X203" s="194"/>
      <c r="Y203" s="194"/>
      <c r="Z203" s="194"/>
      <c r="AA203" s="361"/>
      <c r="AB203" s="361"/>
      <c r="AC203" s="194">
        <f t="shared" ref="AC203" si="669">+AA203*U203</f>
        <v>0</v>
      </c>
      <c r="AD203" s="194"/>
      <c r="AE203" s="194"/>
      <c r="AF203" s="361"/>
      <c r="AG203" s="361"/>
      <c r="AH203" s="194"/>
      <c r="AI203" s="194"/>
      <c r="AJ203" s="194"/>
      <c r="AK203" s="73">
        <f>IF(AG203&gt;=P203-2,P203-AG203,2)</f>
        <v>2</v>
      </c>
      <c r="AL203" s="73">
        <f t="shared" ref="AL203" si="670">+AG203+AK203</f>
        <v>2</v>
      </c>
      <c r="AM203" s="96">
        <f t="shared" ref="AM203" si="671">+AK203*U203</f>
        <v>86391.666666666672</v>
      </c>
      <c r="AN203" s="96">
        <f t="shared" ref="AN203" si="672">AI203+AM203</f>
        <v>86391.666666666672</v>
      </c>
      <c r="AO203" s="96">
        <f t="shared" ref="AO203" si="673">N203-AN203</f>
        <v>1987008.3333333333</v>
      </c>
      <c r="AP203" s="73">
        <f t="shared" si="581"/>
        <v>12</v>
      </c>
      <c r="AQ203" s="73">
        <f t="shared" si="660"/>
        <v>14</v>
      </c>
      <c r="AR203" s="96">
        <f t="shared" si="583"/>
        <v>518350</v>
      </c>
      <c r="AS203" s="96">
        <f t="shared" si="584"/>
        <v>604741.66666666663</v>
      </c>
      <c r="AT203" s="96">
        <f t="shared" si="585"/>
        <v>1468658.3333333335</v>
      </c>
      <c r="AU203" s="362"/>
      <c r="AV203" s="202">
        <f t="shared" ref="AV203" si="674">SUM(AW203:BH203)</f>
        <v>518349.99999999994</v>
      </c>
      <c r="AW203" s="203">
        <f t="shared" si="612"/>
        <v>43195.833333333336</v>
      </c>
      <c r="AX203" s="203">
        <f t="shared" si="613"/>
        <v>43195.833333333336</v>
      </c>
      <c r="AY203" s="203">
        <f t="shared" si="614"/>
        <v>43195.833333333336</v>
      </c>
      <c r="AZ203" s="203">
        <f t="shared" si="615"/>
        <v>43195.833333333336</v>
      </c>
      <c r="BA203" s="203">
        <f t="shared" si="616"/>
        <v>43195.833333333336</v>
      </c>
      <c r="BB203" s="203">
        <f t="shared" si="617"/>
        <v>43195.833333333336</v>
      </c>
      <c r="BC203" s="203">
        <f t="shared" si="618"/>
        <v>43195.833333333336</v>
      </c>
      <c r="BD203" s="203">
        <f t="shared" si="619"/>
        <v>43195.833333333336</v>
      </c>
      <c r="BE203" s="203">
        <f t="shared" si="620"/>
        <v>43195.833333333336</v>
      </c>
      <c r="BF203" s="203">
        <f t="shared" si="621"/>
        <v>43195.833333333336</v>
      </c>
      <c r="BG203" s="203">
        <f t="shared" si="622"/>
        <v>43195.833333333336</v>
      </c>
      <c r="BH203" s="203">
        <f t="shared" si="623"/>
        <v>43195.833333333336</v>
      </c>
    </row>
    <row r="204" spans="2:60" x14ac:dyDescent="0.2">
      <c r="B204" s="68"/>
      <c r="C204" s="89">
        <v>46014</v>
      </c>
      <c r="D204" s="268" t="s">
        <v>471</v>
      </c>
      <c r="E204" s="71">
        <v>1</v>
      </c>
      <c r="F204" s="72" t="s">
        <v>472</v>
      </c>
      <c r="G204" s="356">
        <v>0.25</v>
      </c>
      <c r="H204" s="238"/>
      <c r="I204" s="238"/>
      <c r="J204" s="238"/>
      <c r="K204" s="238"/>
      <c r="L204" s="238"/>
      <c r="M204" s="238"/>
      <c r="N204" s="325">
        <v>3750000</v>
      </c>
      <c r="O204" s="357">
        <f t="shared" ref="O204" si="675">100%/G204</f>
        <v>4</v>
      </c>
      <c r="P204" s="355">
        <f t="shared" ref="P204" si="676">O204*12</f>
        <v>48</v>
      </c>
      <c r="Q204" s="355">
        <f t="shared" ref="Q204" si="677">MONTH(C204)</f>
        <v>12</v>
      </c>
      <c r="R204" s="358">
        <f t="shared" ref="R204" si="678">YEAR(C204)</f>
        <v>2025</v>
      </c>
      <c r="S204" s="359">
        <f t="shared" ref="S204" si="679">IF(Q204=1, 12, Q204-1)</f>
        <v>11</v>
      </c>
      <c r="T204" s="360">
        <f t="shared" ref="T204" si="680">IF(Q204=1,R204+O204-1,R204+O204)</f>
        <v>2029</v>
      </c>
      <c r="U204" s="194">
        <f>N204/P204</f>
        <v>78125</v>
      </c>
      <c r="V204" s="361"/>
      <c r="W204" s="361"/>
      <c r="X204" s="194"/>
      <c r="Y204" s="194"/>
      <c r="Z204" s="194"/>
      <c r="AA204" s="361"/>
      <c r="AB204" s="361"/>
      <c r="AC204" s="194">
        <f t="shared" ref="AC204" si="681">+AA204*U204</f>
        <v>0</v>
      </c>
      <c r="AD204" s="194"/>
      <c r="AE204" s="194"/>
      <c r="AF204" s="361"/>
      <c r="AG204" s="361"/>
      <c r="AH204" s="194"/>
      <c r="AI204" s="194"/>
      <c r="AJ204" s="194"/>
      <c r="AK204" s="73">
        <f>IF(AG204&gt;=P204-1,P204-AG204,1)</f>
        <v>1</v>
      </c>
      <c r="AL204" s="73">
        <f t="shared" ref="AL204" si="682">+AG204+AK204</f>
        <v>1</v>
      </c>
      <c r="AM204" s="96">
        <f t="shared" ref="AM204" si="683">+AK204*U204</f>
        <v>78125</v>
      </c>
      <c r="AN204" s="96">
        <f t="shared" ref="AN204" si="684">AI204+AM204</f>
        <v>78125</v>
      </c>
      <c r="AO204" s="96">
        <f t="shared" ref="AO204" si="685">N204-AN204</f>
        <v>3671875</v>
      </c>
      <c r="AP204" s="73">
        <f t="shared" si="581"/>
        <v>12</v>
      </c>
      <c r="AQ204" s="73">
        <f t="shared" si="660"/>
        <v>13</v>
      </c>
      <c r="AR204" s="96">
        <f t="shared" si="583"/>
        <v>937500</v>
      </c>
      <c r="AS204" s="96">
        <f t="shared" si="584"/>
        <v>1015625</v>
      </c>
      <c r="AT204" s="96">
        <f t="shared" si="585"/>
        <v>2734375</v>
      </c>
      <c r="AU204" s="362"/>
      <c r="AV204" s="202">
        <f t="shared" ref="AV204" si="686">SUM(AW204:BH204)</f>
        <v>937500</v>
      </c>
      <c r="AW204" s="203">
        <f t="shared" si="612"/>
        <v>78125</v>
      </c>
      <c r="AX204" s="203">
        <f t="shared" si="613"/>
        <v>78125</v>
      </c>
      <c r="AY204" s="203">
        <f t="shared" si="614"/>
        <v>78125</v>
      </c>
      <c r="AZ204" s="203">
        <f t="shared" si="615"/>
        <v>78125</v>
      </c>
      <c r="BA204" s="203">
        <f t="shared" si="616"/>
        <v>78125</v>
      </c>
      <c r="BB204" s="203">
        <f t="shared" si="617"/>
        <v>78125</v>
      </c>
      <c r="BC204" s="203">
        <f t="shared" si="618"/>
        <v>78125</v>
      </c>
      <c r="BD204" s="203">
        <f t="shared" si="619"/>
        <v>78125</v>
      </c>
      <c r="BE204" s="203">
        <f t="shared" si="620"/>
        <v>78125</v>
      </c>
      <c r="BF204" s="203">
        <f t="shared" si="621"/>
        <v>78125</v>
      </c>
      <c r="BG204" s="203">
        <f t="shared" si="622"/>
        <v>78125</v>
      </c>
      <c r="BH204" s="203">
        <f t="shared" si="623"/>
        <v>78125</v>
      </c>
    </row>
    <row r="205" spans="2:60" x14ac:dyDescent="0.2">
      <c r="B205" s="68"/>
      <c r="C205" s="89"/>
      <c r="D205" s="70"/>
      <c r="E205" s="71"/>
      <c r="F205" s="72"/>
      <c r="G205" s="90"/>
      <c r="H205" s="74"/>
      <c r="I205" s="74"/>
      <c r="J205" s="74"/>
      <c r="K205" s="74"/>
      <c r="L205" s="74"/>
      <c r="M205" s="74"/>
      <c r="N205" s="252"/>
      <c r="O205" s="91"/>
      <c r="P205" s="72"/>
      <c r="Q205" s="72"/>
      <c r="R205" s="92"/>
      <c r="S205" s="93"/>
      <c r="T205" s="94"/>
      <c r="U205" s="252"/>
      <c r="V205" s="252"/>
      <c r="W205" s="252"/>
      <c r="X205" s="252"/>
      <c r="Y205" s="252"/>
      <c r="Z205" s="252"/>
      <c r="AA205" s="252"/>
      <c r="AB205" s="252"/>
      <c r="AC205" s="252"/>
      <c r="AD205" s="252"/>
      <c r="AE205" s="252"/>
      <c r="AF205" s="252"/>
      <c r="AG205" s="252"/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60"/>
      <c r="AV205" s="325"/>
      <c r="AW205" s="252"/>
      <c r="AX205" s="252"/>
      <c r="AY205" s="252"/>
      <c r="AZ205" s="252"/>
      <c r="BA205" s="252"/>
      <c r="BB205" s="252"/>
      <c r="BC205" s="252"/>
      <c r="BD205" s="252"/>
      <c r="BE205" s="252"/>
      <c r="BF205" s="252"/>
      <c r="BG205" s="252"/>
      <c r="BH205" s="252"/>
    </row>
    <row r="206" spans="2:60" x14ac:dyDescent="0.2">
      <c r="B206" s="68"/>
      <c r="C206" s="89"/>
      <c r="D206" s="70"/>
      <c r="E206" s="71"/>
      <c r="F206" s="72"/>
      <c r="G206" s="90"/>
      <c r="H206" s="74"/>
      <c r="I206" s="74"/>
      <c r="J206" s="74"/>
      <c r="K206" s="74"/>
      <c r="L206" s="74"/>
      <c r="M206" s="74"/>
      <c r="N206" s="159">
        <f>SUM(N195:N205)</f>
        <v>52364946</v>
      </c>
      <c r="O206" s="91"/>
      <c r="P206" s="72"/>
      <c r="Q206" s="72"/>
      <c r="R206" s="92"/>
      <c r="S206" s="93"/>
      <c r="T206" s="94"/>
      <c r="U206" s="159">
        <f>SUM(U195:U205)</f>
        <v>1090936.375</v>
      </c>
      <c r="V206" s="252"/>
      <c r="W206" s="252"/>
      <c r="X206" s="252"/>
      <c r="Y206" s="252"/>
      <c r="Z206" s="252"/>
      <c r="AA206" s="252"/>
      <c r="AB206" s="252"/>
      <c r="AC206" s="252"/>
      <c r="AD206" s="252"/>
      <c r="AE206" s="252"/>
      <c r="AF206" s="252"/>
      <c r="AG206" s="252"/>
      <c r="AH206" s="252"/>
      <c r="AI206" s="252"/>
      <c r="AJ206" s="252"/>
      <c r="AK206" s="252"/>
      <c r="AL206" s="252"/>
      <c r="AM206" s="159">
        <f t="shared" ref="AM206:AO206" si="687">SUM(AM195:AM205)</f>
        <v>7684213.3333333349</v>
      </c>
      <c r="AN206" s="159">
        <f t="shared" si="687"/>
        <v>7684213.3333333349</v>
      </c>
      <c r="AO206" s="159">
        <f t="shared" si="687"/>
        <v>44680732.666666672</v>
      </c>
      <c r="AP206" s="252"/>
      <c r="AQ206" s="252"/>
      <c r="AR206" s="159">
        <f t="shared" ref="AR206:AT206" si="688">SUM(AR195:AR205)</f>
        <v>13091236.5</v>
      </c>
      <c r="AS206" s="159">
        <f t="shared" si="688"/>
        <v>20775449.833333336</v>
      </c>
      <c r="AT206" s="159">
        <f t="shared" si="688"/>
        <v>31589496.166666664</v>
      </c>
      <c r="AU206" s="60"/>
      <c r="AV206" s="159">
        <f>SUM(AV195:AV205)</f>
        <v>13091236.5</v>
      </c>
      <c r="AW206" s="159">
        <f t="shared" ref="AW206:BH206" si="689">SUM(AW195:AW205)</f>
        <v>1090936.375</v>
      </c>
      <c r="AX206" s="159">
        <f t="shared" si="689"/>
        <v>1090936.375</v>
      </c>
      <c r="AY206" s="159">
        <f t="shared" si="689"/>
        <v>1090936.375</v>
      </c>
      <c r="AZ206" s="159">
        <f t="shared" si="689"/>
        <v>1090936.375</v>
      </c>
      <c r="BA206" s="159">
        <f>SUM(BA195:BA205)</f>
        <v>1090936.375</v>
      </c>
      <c r="BB206" s="159">
        <f>SUM(BB195:BB205)</f>
        <v>1090936.375</v>
      </c>
      <c r="BC206" s="159">
        <f t="shared" si="689"/>
        <v>1090936.375</v>
      </c>
      <c r="BD206" s="159">
        <f t="shared" si="689"/>
        <v>1090936.375</v>
      </c>
      <c r="BE206" s="159">
        <f t="shared" si="689"/>
        <v>1090936.375</v>
      </c>
      <c r="BF206" s="159">
        <f t="shared" si="689"/>
        <v>1090936.375</v>
      </c>
      <c r="BG206" s="159">
        <f>SUM(BG195:BG205)</f>
        <v>1090936.375</v>
      </c>
      <c r="BH206" s="159">
        <f t="shared" si="689"/>
        <v>1090936.375</v>
      </c>
    </row>
    <row r="207" spans="2:60" x14ac:dyDescent="0.2">
      <c r="B207" s="68"/>
      <c r="C207" s="89"/>
      <c r="D207" s="70"/>
      <c r="E207" s="71"/>
      <c r="F207" s="72"/>
      <c r="G207" s="90"/>
      <c r="H207" s="74"/>
      <c r="I207" s="74"/>
      <c r="J207" s="74"/>
      <c r="K207" s="74"/>
      <c r="L207" s="74"/>
      <c r="M207" s="74"/>
      <c r="N207" s="252"/>
      <c r="O207" s="91"/>
      <c r="P207" s="72"/>
      <c r="Q207" s="72"/>
      <c r="R207" s="92"/>
      <c r="S207" s="93"/>
      <c r="T207" s="94"/>
      <c r="U207" s="252"/>
      <c r="V207" s="252"/>
      <c r="W207" s="252"/>
      <c r="X207" s="252"/>
      <c r="Y207" s="252"/>
      <c r="Z207" s="252"/>
      <c r="AA207" s="252"/>
      <c r="AB207" s="252"/>
      <c r="AC207" s="252"/>
      <c r="AD207" s="252"/>
      <c r="AE207" s="252"/>
      <c r="AF207" s="252"/>
      <c r="AG207" s="252"/>
      <c r="AH207" s="252"/>
      <c r="AI207" s="252"/>
      <c r="AJ207" s="252"/>
      <c r="AK207" s="252"/>
      <c r="AL207" s="252"/>
      <c r="AM207" s="252"/>
      <c r="AN207" s="252"/>
      <c r="AO207" s="252"/>
      <c r="AP207" s="252"/>
      <c r="AQ207" s="252"/>
      <c r="AR207" s="252"/>
      <c r="AS207" s="252"/>
      <c r="AT207" s="252"/>
      <c r="AU207" s="60"/>
      <c r="AV207" s="252"/>
      <c r="AW207" s="252"/>
      <c r="AX207" s="252"/>
      <c r="AY207" s="252"/>
      <c r="AZ207" s="252"/>
      <c r="BA207" s="252"/>
      <c r="BB207" s="252"/>
      <c r="BC207" s="252"/>
      <c r="BD207" s="252"/>
      <c r="BE207" s="252"/>
      <c r="BF207" s="252"/>
      <c r="BG207" s="252"/>
      <c r="BH207" s="252"/>
    </row>
    <row r="208" spans="2:60" x14ac:dyDescent="0.2">
      <c r="B208" s="68"/>
      <c r="C208" s="89">
        <v>46030</v>
      </c>
      <c r="D208" s="268" t="s">
        <v>478</v>
      </c>
      <c r="E208" s="71">
        <v>1</v>
      </c>
      <c r="F208" s="72" t="s">
        <v>479</v>
      </c>
      <c r="G208" s="356">
        <v>0.25</v>
      </c>
      <c r="H208" s="238"/>
      <c r="I208" s="238"/>
      <c r="J208" s="238"/>
      <c r="K208" s="238"/>
      <c r="L208" s="238"/>
      <c r="M208" s="238"/>
      <c r="N208" s="325">
        <v>7950000</v>
      </c>
      <c r="O208" s="357">
        <f t="shared" ref="O208" si="690">100%/G208</f>
        <v>4</v>
      </c>
      <c r="P208" s="355">
        <f t="shared" ref="P208" si="691">O208*12</f>
        <v>48</v>
      </c>
      <c r="Q208" s="355">
        <f t="shared" ref="Q208" si="692">MONTH(C208)</f>
        <v>1</v>
      </c>
      <c r="R208" s="358">
        <f t="shared" ref="R208" si="693">YEAR(C208)</f>
        <v>2026</v>
      </c>
      <c r="S208" s="359">
        <f t="shared" ref="S208" si="694">IF(Q208=1, 12, Q208-1)</f>
        <v>12</v>
      </c>
      <c r="T208" s="360">
        <f t="shared" ref="T208" si="695">IF(Q208=1,R208+O208-1,R208+O208)</f>
        <v>2029</v>
      </c>
      <c r="U208" s="194">
        <f t="shared" ref="U208" si="696">N208/P208</f>
        <v>165625</v>
      </c>
      <c r="V208" s="361"/>
      <c r="W208" s="361"/>
      <c r="X208" s="194"/>
      <c r="Y208" s="194"/>
      <c r="Z208" s="194"/>
      <c r="AA208" s="361"/>
      <c r="AB208" s="361"/>
      <c r="AC208" s="194">
        <f t="shared" ref="AC208" si="697">+AA208*U208</f>
        <v>0</v>
      </c>
      <c r="AD208" s="194"/>
      <c r="AE208" s="194"/>
      <c r="AF208" s="361"/>
      <c r="AG208" s="361"/>
      <c r="AH208" s="194"/>
      <c r="AI208" s="194"/>
      <c r="AJ208" s="194"/>
      <c r="AK208" s="73"/>
      <c r="AL208" s="73"/>
      <c r="AM208" s="96"/>
      <c r="AN208" s="96"/>
      <c r="AO208" s="96"/>
      <c r="AP208" s="73">
        <f t="shared" ref="AP208:AP209" si="698">IF(AL208&gt;=P208-12,P208-AL208,12)</f>
        <v>12</v>
      </c>
      <c r="AQ208" s="73">
        <f t="shared" ref="AQ208:AQ209" si="699">+AL208+AP208</f>
        <v>12</v>
      </c>
      <c r="AR208" s="96">
        <f t="shared" ref="AR208:AR209" si="700">+AP208*U208</f>
        <v>1987500</v>
      </c>
      <c r="AS208" s="96">
        <f t="shared" ref="AS208:AS209" si="701">AN208+AR208</f>
        <v>1987500</v>
      </c>
      <c r="AT208" s="96">
        <f t="shared" ref="AT208:AT209" si="702">N208-AS208</f>
        <v>5962500</v>
      </c>
      <c r="AU208" s="362"/>
      <c r="AV208" s="202">
        <f t="shared" ref="AV208" si="703">SUM(AW208:BH208)</f>
        <v>1987500</v>
      </c>
      <c r="AW208" s="203">
        <f t="shared" ref="AW208:AW209" si="704">+U208*1</f>
        <v>165625</v>
      </c>
      <c r="AX208" s="203">
        <f t="shared" ref="AX208:AX209" si="705">+U208*1</f>
        <v>165625</v>
      </c>
      <c r="AY208" s="203">
        <f t="shared" ref="AY208:AY209" si="706">+U208*1</f>
        <v>165625</v>
      </c>
      <c r="AZ208" s="203">
        <f t="shared" ref="AZ208:AZ209" si="707">+U208*1</f>
        <v>165625</v>
      </c>
      <c r="BA208" s="203">
        <f t="shared" ref="BA208:BA209" si="708">+U208*1</f>
        <v>165625</v>
      </c>
      <c r="BB208" s="203">
        <f t="shared" ref="BB208:BB209" si="709">+U208*1</f>
        <v>165625</v>
      </c>
      <c r="BC208" s="203">
        <f t="shared" ref="BC208:BC209" si="710">+U208*1</f>
        <v>165625</v>
      </c>
      <c r="BD208" s="203">
        <f t="shared" ref="BD208:BD209" si="711">+U208*1</f>
        <v>165625</v>
      </c>
      <c r="BE208" s="203">
        <f t="shared" ref="BE208:BE209" si="712">+U208*1</f>
        <v>165625</v>
      </c>
      <c r="BF208" s="203">
        <f t="shared" ref="BF208:BF209" si="713">+U208*1</f>
        <v>165625</v>
      </c>
      <c r="BG208" s="203">
        <f t="shared" ref="BG208:BG209" si="714">+U208*1</f>
        <v>165625</v>
      </c>
      <c r="BH208" s="203">
        <f t="shared" ref="BH208:BH209" si="715">+U208*1</f>
        <v>165625</v>
      </c>
    </row>
    <row r="209" spans="2:60" x14ac:dyDescent="0.2">
      <c r="B209" s="68"/>
      <c r="C209" s="89">
        <v>46037</v>
      </c>
      <c r="D209" s="268" t="s">
        <v>480</v>
      </c>
      <c r="E209" s="71">
        <v>1</v>
      </c>
      <c r="F209" s="72" t="s">
        <v>481</v>
      </c>
      <c r="G209" s="356">
        <v>0.25</v>
      </c>
      <c r="H209" s="238"/>
      <c r="I209" s="238"/>
      <c r="J209" s="238"/>
      <c r="K209" s="238"/>
      <c r="L209" s="238"/>
      <c r="M209" s="238"/>
      <c r="N209" s="325">
        <v>785000</v>
      </c>
      <c r="O209" s="357">
        <f t="shared" ref="O209" si="716">100%/G209</f>
        <v>4</v>
      </c>
      <c r="P209" s="355">
        <f t="shared" ref="P209" si="717">O209*12</f>
        <v>48</v>
      </c>
      <c r="Q209" s="355">
        <f t="shared" ref="Q209" si="718">MONTH(C209)</f>
        <v>1</v>
      </c>
      <c r="R209" s="358">
        <f t="shared" ref="R209" si="719">YEAR(C209)</f>
        <v>2026</v>
      </c>
      <c r="S209" s="359">
        <f t="shared" ref="S209" si="720">IF(Q209=1, 12, Q209-1)</f>
        <v>12</v>
      </c>
      <c r="T209" s="360">
        <f t="shared" ref="T209" si="721">IF(Q209=1,R209+O209-1,R209+O209)</f>
        <v>2029</v>
      </c>
      <c r="U209" s="194">
        <f t="shared" ref="U209" si="722">N209/P209</f>
        <v>16354.166666666666</v>
      </c>
      <c r="V209" s="361"/>
      <c r="W209" s="361"/>
      <c r="X209" s="194"/>
      <c r="Y209" s="194"/>
      <c r="Z209" s="194"/>
      <c r="AA209" s="361"/>
      <c r="AB209" s="361"/>
      <c r="AC209" s="194">
        <f t="shared" ref="AC209" si="723">+AA209*U209</f>
        <v>0</v>
      </c>
      <c r="AD209" s="194"/>
      <c r="AE209" s="194"/>
      <c r="AF209" s="361"/>
      <c r="AG209" s="361"/>
      <c r="AH209" s="194"/>
      <c r="AI209" s="194"/>
      <c r="AJ209" s="194"/>
      <c r="AK209" s="73"/>
      <c r="AL209" s="73"/>
      <c r="AM209" s="96"/>
      <c r="AN209" s="96"/>
      <c r="AO209" s="96"/>
      <c r="AP209" s="73">
        <f t="shared" si="698"/>
        <v>12</v>
      </c>
      <c r="AQ209" s="73">
        <f t="shared" si="699"/>
        <v>12</v>
      </c>
      <c r="AR209" s="96">
        <f t="shared" si="700"/>
        <v>196250</v>
      </c>
      <c r="AS209" s="96">
        <f t="shared" si="701"/>
        <v>196250</v>
      </c>
      <c r="AT209" s="96">
        <f t="shared" si="702"/>
        <v>588750</v>
      </c>
      <c r="AU209" s="362"/>
      <c r="AV209" s="202">
        <f t="shared" ref="AV209" si="724">SUM(AW209:BH209)</f>
        <v>196249.99999999997</v>
      </c>
      <c r="AW209" s="203">
        <f t="shared" si="704"/>
        <v>16354.166666666666</v>
      </c>
      <c r="AX209" s="203">
        <f t="shared" si="705"/>
        <v>16354.166666666666</v>
      </c>
      <c r="AY209" s="203">
        <f t="shared" si="706"/>
        <v>16354.166666666666</v>
      </c>
      <c r="AZ209" s="203">
        <f t="shared" si="707"/>
        <v>16354.166666666666</v>
      </c>
      <c r="BA209" s="203">
        <f t="shared" si="708"/>
        <v>16354.166666666666</v>
      </c>
      <c r="BB209" s="203">
        <f t="shared" si="709"/>
        <v>16354.166666666666</v>
      </c>
      <c r="BC209" s="203">
        <f t="shared" si="710"/>
        <v>16354.166666666666</v>
      </c>
      <c r="BD209" s="203">
        <f t="shared" si="711"/>
        <v>16354.166666666666</v>
      </c>
      <c r="BE209" s="203">
        <f t="shared" si="712"/>
        <v>16354.166666666666</v>
      </c>
      <c r="BF209" s="203">
        <f t="shared" si="713"/>
        <v>16354.166666666666</v>
      </c>
      <c r="BG209" s="203">
        <f t="shared" si="714"/>
        <v>16354.166666666666</v>
      </c>
      <c r="BH209" s="203">
        <f t="shared" si="715"/>
        <v>16354.166666666666</v>
      </c>
    </row>
    <row r="210" spans="2:60" x14ac:dyDescent="0.2">
      <c r="B210" s="68"/>
      <c r="C210" s="89"/>
      <c r="D210" s="70"/>
      <c r="E210" s="71"/>
      <c r="F210" s="72"/>
      <c r="G210" s="90"/>
      <c r="H210" s="74"/>
      <c r="I210" s="74"/>
      <c r="J210" s="74"/>
      <c r="K210" s="74"/>
      <c r="L210" s="74"/>
      <c r="M210" s="74"/>
      <c r="N210" s="252"/>
      <c r="O210" s="91"/>
      <c r="P210" s="72"/>
      <c r="Q210" s="72"/>
      <c r="R210" s="92"/>
      <c r="S210" s="93"/>
      <c r="T210" s="94"/>
      <c r="U210" s="252"/>
      <c r="V210" s="252"/>
      <c r="W210" s="252"/>
      <c r="X210" s="252"/>
      <c r="Y210" s="252"/>
      <c r="Z210" s="252"/>
      <c r="AA210" s="252"/>
      <c r="AB210" s="252"/>
      <c r="AC210" s="252"/>
      <c r="AD210" s="252"/>
      <c r="AE210" s="252"/>
      <c r="AF210" s="252"/>
      <c r="AG210" s="252"/>
      <c r="AH210" s="252"/>
      <c r="AI210" s="252"/>
      <c r="AJ210" s="252"/>
      <c r="AK210" s="252"/>
      <c r="AL210" s="252"/>
      <c r="AM210" s="252"/>
      <c r="AN210" s="252"/>
      <c r="AO210" s="252"/>
      <c r="AP210" s="252"/>
      <c r="AQ210" s="252"/>
      <c r="AR210" s="252"/>
      <c r="AS210" s="252"/>
      <c r="AT210" s="252"/>
      <c r="AU210" s="60"/>
      <c r="AV210" s="252"/>
      <c r="AW210" s="252"/>
      <c r="AX210" s="252"/>
      <c r="AY210" s="252"/>
      <c r="AZ210" s="252"/>
      <c r="BA210" s="252"/>
      <c r="BB210" s="252"/>
      <c r="BC210" s="252"/>
      <c r="BD210" s="252"/>
      <c r="BE210" s="252"/>
      <c r="BF210" s="252"/>
      <c r="BG210" s="252"/>
      <c r="BH210" s="252"/>
    </row>
    <row r="211" spans="2:60" x14ac:dyDescent="0.2">
      <c r="B211" s="68"/>
      <c r="C211" s="89"/>
      <c r="D211" s="70"/>
      <c r="E211" s="71"/>
      <c r="F211" s="72"/>
      <c r="G211" s="90"/>
      <c r="H211" s="74"/>
      <c r="I211" s="74"/>
      <c r="J211" s="74"/>
      <c r="K211" s="74"/>
      <c r="L211" s="74"/>
      <c r="M211" s="74"/>
      <c r="N211" s="252"/>
      <c r="O211" s="91"/>
      <c r="P211" s="72"/>
      <c r="Q211" s="72"/>
      <c r="R211" s="92"/>
      <c r="S211" s="93"/>
      <c r="T211" s="94"/>
      <c r="U211" s="252"/>
      <c r="V211" s="252"/>
      <c r="W211" s="252"/>
      <c r="X211" s="252"/>
      <c r="Y211" s="252"/>
      <c r="Z211" s="252"/>
      <c r="AA211" s="252"/>
      <c r="AB211" s="252"/>
      <c r="AC211" s="252"/>
      <c r="AD211" s="252"/>
      <c r="AE211" s="252"/>
      <c r="AF211" s="252"/>
      <c r="AG211" s="252"/>
      <c r="AH211" s="252"/>
      <c r="AI211" s="252"/>
      <c r="AJ211" s="252"/>
      <c r="AK211" s="252"/>
      <c r="AL211" s="252"/>
      <c r="AM211" s="252"/>
      <c r="AN211" s="252"/>
      <c r="AO211" s="252"/>
      <c r="AP211" s="252"/>
      <c r="AQ211" s="252"/>
      <c r="AR211" s="252"/>
      <c r="AS211" s="252"/>
      <c r="AT211" s="252"/>
      <c r="AU211" s="60"/>
      <c r="AV211" s="252"/>
      <c r="AW211" s="252"/>
      <c r="AX211" s="252"/>
      <c r="AY211" s="252"/>
      <c r="AZ211" s="252"/>
      <c r="BA211" s="252"/>
      <c r="BB211" s="252"/>
      <c r="BC211" s="252"/>
      <c r="BD211" s="252"/>
      <c r="BE211" s="252"/>
      <c r="BF211" s="252"/>
      <c r="BG211" s="252"/>
      <c r="BH211" s="252"/>
    </row>
    <row r="212" spans="2:60" x14ac:dyDescent="0.2">
      <c r="B212" s="68"/>
      <c r="C212" s="89"/>
      <c r="D212" s="70"/>
      <c r="E212" s="71"/>
      <c r="F212" s="72"/>
      <c r="G212" s="90"/>
      <c r="H212" s="74"/>
      <c r="I212" s="74"/>
      <c r="J212" s="74"/>
      <c r="K212" s="74"/>
      <c r="L212" s="74"/>
      <c r="M212" s="74"/>
      <c r="N212" s="159">
        <f>SUM(N208:N211)</f>
        <v>8735000</v>
      </c>
      <c r="O212" s="91"/>
      <c r="P212" s="72"/>
      <c r="Q212" s="72"/>
      <c r="R212" s="92"/>
      <c r="S212" s="93"/>
      <c r="T212" s="94"/>
      <c r="U212" s="159">
        <f>SUM(U208:U211)</f>
        <v>181979.16666666666</v>
      </c>
      <c r="V212" s="252"/>
      <c r="W212" s="252"/>
      <c r="X212" s="252"/>
      <c r="Y212" s="252"/>
      <c r="Z212" s="252"/>
      <c r="AA212" s="252"/>
      <c r="AB212" s="252"/>
      <c r="AC212" s="252"/>
      <c r="AD212" s="252"/>
      <c r="AE212" s="252"/>
      <c r="AF212" s="252"/>
      <c r="AG212" s="252"/>
      <c r="AH212" s="252"/>
      <c r="AI212" s="252"/>
      <c r="AJ212" s="252"/>
      <c r="AK212" s="252"/>
      <c r="AL212" s="252"/>
      <c r="AM212" s="252"/>
      <c r="AN212" s="252"/>
      <c r="AO212" s="252"/>
      <c r="AP212" s="252"/>
      <c r="AQ212" s="252"/>
      <c r="AR212" s="159">
        <f t="shared" ref="AR212:AT212" si="725">SUM(AR208:AR211)</f>
        <v>2183750</v>
      </c>
      <c r="AS212" s="159">
        <f t="shared" si="725"/>
        <v>2183750</v>
      </c>
      <c r="AT212" s="159">
        <f t="shared" si="725"/>
        <v>6551250</v>
      </c>
      <c r="AU212" s="60"/>
      <c r="AV212" s="159">
        <f t="shared" ref="AV212" si="726">SUM(AV208:AV211)</f>
        <v>2183750</v>
      </c>
      <c r="AW212" s="159">
        <f t="shared" ref="AW212" si="727">SUM(AW208:AW211)</f>
        <v>181979.16666666666</v>
      </c>
      <c r="AX212" s="159">
        <f t="shared" ref="AX212" si="728">SUM(AX208:AX211)</f>
        <v>181979.16666666666</v>
      </c>
      <c r="AY212" s="159">
        <f t="shared" ref="AY212" si="729">SUM(AY208:AY211)</f>
        <v>181979.16666666666</v>
      </c>
      <c r="AZ212" s="159">
        <f t="shared" ref="AZ212" si="730">SUM(AZ208:AZ211)</f>
        <v>181979.16666666666</v>
      </c>
      <c r="BA212" s="159">
        <f t="shared" ref="BA212" si="731">SUM(BA208:BA211)</f>
        <v>181979.16666666666</v>
      </c>
      <c r="BB212" s="159">
        <f t="shared" ref="BB212" si="732">SUM(BB208:BB211)</f>
        <v>181979.16666666666</v>
      </c>
      <c r="BC212" s="159">
        <f t="shared" ref="BC212" si="733">SUM(BC208:BC211)</f>
        <v>181979.16666666666</v>
      </c>
      <c r="BD212" s="159">
        <f t="shared" ref="BD212" si="734">SUM(BD208:BD211)</f>
        <v>181979.16666666666</v>
      </c>
      <c r="BE212" s="159">
        <f t="shared" ref="BE212" si="735">SUM(BE208:BE211)</f>
        <v>181979.16666666666</v>
      </c>
      <c r="BF212" s="159">
        <f t="shared" ref="BF212" si="736">SUM(BF208:BF211)</f>
        <v>181979.16666666666</v>
      </c>
      <c r="BG212" s="159">
        <f t="shared" ref="BG212" si="737">SUM(BG208:BG211)</f>
        <v>181979.16666666666</v>
      </c>
      <c r="BH212" s="159">
        <f t="shared" ref="BH212" si="738">SUM(BH208:BH211)</f>
        <v>181979.16666666666</v>
      </c>
    </row>
    <row r="213" spans="2:60" x14ac:dyDescent="0.2">
      <c r="B213" s="68"/>
      <c r="C213" s="89"/>
      <c r="D213" s="70"/>
      <c r="E213" s="71"/>
      <c r="F213" s="72"/>
      <c r="G213" s="90"/>
      <c r="H213" s="74"/>
      <c r="I213" s="74"/>
      <c r="J213" s="74"/>
      <c r="K213" s="74"/>
      <c r="L213" s="74"/>
      <c r="M213" s="74"/>
      <c r="N213" s="252"/>
      <c r="O213" s="91"/>
      <c r="P213" s="72"/>
      <c r="Q213" s="72"/>
      <c r="R213" s="92"/>
      <c r="S213" s="93"/>
      <c r="T213" s="94"/>
      <c r="U213" s="252"/>
      <c r="V213" s="252"/>
      <c r="W213" s="252"/>
      <c r="X213" s="252"/>
      <c r="Y213" s="252"/>
      <c r="Z213" s="252"/>
      <c r="AA213" s="252"/>
      <c r="AB213" s="252"/>
      <c r="AC213" s="252"/>
      <c r="AD213" s="252"/>
      <c r="AE213" s="252"/>
      <c r="AF213" s="252"/>
      <c r="AG213" s="252"/>
      <c r="AH213" s="252"/>
      <c r="AI213" s="252"/>
      <c r="AJ213" s="252"/>
      <c r="AK213" s="252"/>
      <c r="AL213" s="252"/>
      <c r="AM213" s="252"/>
      <c r="AN213" s="252"/>
      <c r="AO213" s="252"/>
      <c r="AP213" s="252"/>
      <c r="AQ213" s="252"/>
      <c r="AR213" s="252"/>
      <c r="AS213" s="252"/>
      <c r="AT213" s="252"/>
      <c r="AU213" s="60"/>
      <c r="AV213" s="252"/>
      <c r="AW213" s="252"/>
      <c r="AX213" s="252"/>
      <c r="AY213" s="252"/>
      <c r="AZ213" s="252"/>
      <c r="BA213" s="252"/>
      <c r="BB213" s="252"/>
      <c r="BC213" s="252"/>
      <c r="BD213" s="252"/>
      <c r="BE213" s="252"/>
      <c r="BF213" s="252"/>
      <c r="BG213" s="252"/>
      <c r="BH213" s="252"/>
    </row>
    <row r="214" spans="2:60" x14ac:dyDescent="0.2">
      <c r="B214" s="68"/>
      <c r="C214" s="89"/>
      <c r="D214" s="70"/>
      <c r="E214" s="71"/>
      <c r="F214" s="72"/>
      <c r="G214" s="90"/>
      <c r="H214" s="74"/>
      <c r="I214" s="74"/>
      <c r="J214" s="74"/>
      <c r="K214" s="74"/>
      <c r="L214" s="74"/>
      <c r="M214" s="74"/>
      <c r="N214" s="193">
        <f>+N142+N162+N171+N181+N193+N206+N212</f>
        <v>959181516</v>
      </c>
      <c r="O214" s="91"/>
      <c r="P214" s="72"/>
      <c r="Q214" s="72"/>
      <c r="R214" s="92"/>
      <c r="S214" s="93"/>
      <c r="T214" s="94"/>
      <c r="U214" s="193">
        <f>+U142+U162+U171+U181+U193+U206+U212</f>
        <v>19982948.25</v>
      </c>
      <c r="V214" s="282"/>
      <c r="W214" s="282"/>
      <c r="X214" s="193">
        <f>+X142+X162+X171+X181+X193+X206+X212</f>
        <v>78270104.166666672</v>
      </c>
      <c r="Y214" s="193">
        <f t="shared" ref="Y214:Z214" si="739">+Y142+Y162+Y171+Y181+Y193+Y206+Y212</f>
        <v>596007387.41666663</v>
      </c>
      <c r="Z214" s="193">
        <f t="shared" si="739"/>
        <v>197962339.58333331</v>
      </c>
      <c r="AA214" s="282"/>
      <c r="AB214" s="282"/>
      <c r="AC214" s="193">
        <f t="shared" ref="AC214:AE214" si="740">+AC142+AC162+AC171+AC181+AC193+AC206+AC212</f>
        <v>85270662.5</v>
      </c>
      <c r="AD214" s="193">
        <f t="shared" si="740"/>
        <v>681278049.91666651</v>
      </c>
      <c r="AE214" s="193">
        <f t="shared" si="740"/>
        <v>157341177.08333334</v>
      </c>
      <c r="AF214" s="282"/>
      <c r="AG214" s="282"/>
      <c r="AH214" s="193">
        <f t="shared" ref="AH214:AJ214" si="741">+AH142+AH162+AH171+AH181+AH193+AH206+AH212</f>
        <v>88298160.458333328</v>
      </c>
      <c r="AI214" s="193">
        <f t="shared" si="741"/>
        <v>769576210.375</v>
      </c>
      <c r="AJ214" s="193">
        <f t="shared" si="741"/>
        <v>128505359.625</v>
      </c>
      <c r="AK214" s="282"/>
      <c r="AL214" s="282"/>
      <c r="AM214" s="193">
        <f t="shared" ref="AM214:AO214" si="742">+AM142+AM162+AM171+AM181+AM193+AM206+AM212</f>
        <v>76061547</v>
      </c>
      <c r="AN214" s="193">
        <f t="shared" si="742"/>
        <v>845637757.375</v>
      </c>
      <c r="AO214" s="193">
        <f t="shared" si="742"/>
        <v>104808758.625</v>
      </c>
      <c r="AP214" s="282"/>
      <c r="AQ214" s="282"/>
      <c r="AR214" s="193">
        <f t="shared" ref="AR214:AS214" si="743">+AR142+AR162+AR171+AR181+AR193+AR206+AR212</f>
        <v>46112368.083333336</v>
      </c>
      <c r="AS214" s="193">
        <f t="shared" si="743"/>
        <v>891750125.45833337</v>
      </c>
      <c r="AT214" s="193">
        <f>+AT142+AT162+AT171+AT181+AT193+AT206+AT212</f>
        <v>67431390.541666657</v>
      </c>
      <c r="AU214" s="60"/>
      <c r="AV214" s="193">
        <f>+AV142+AV162+AV171+AV181+AV193+AV206+AV212</f>
        <v>46112368.083333328</v>
      </c>
      <c r="AW214" s="193">
        <f t="shared" ref="AW214:BH214" si="744">+AW142+AW162+AW171+AW181+AW193+AW206+AW212</f>
        <v>4017695.6041666665</v>
      </c>
      <c r="AX214" s="193">
        <f t="shared" si="744"/>
        <v>4017695.6041666665</v>
      </c>
      <c r="AY214" s="193">
        <f t="shared" si="744"/>
        <v>3978570.6041666665</v>
      </c>
      <c r="AZ214" s="193">
        <f t="shared" si="744"/>
        <v>3978570.6041666665</v>
      </c>
      <c r="BA214" s="193">
        <f t="shared" si="744"/>
        <v>3978570.6041666665</v>
      </c>
      <c r="BB214" s="193">
        <f t="shared" si="744"/>
        <v>3978570.6041666665</v>
      </c>
      <c r="BC214" s="193">
        <f t="shared" si="744"/>
        <v>3785966.4375</v>
      </c>
      <c r="BD214" s="193">
        <f t="shared" si="744"/>
        <v>3733703.9375</v>
      </c>
      <c r="BE214" s="193">
        <f t="shared" si="744"/>
        <v>3733703.9375</v>
      </c>
      <c r="BF214" s="193">
        <f t="shared" si="744"/>
        <v>3733703.9375</v>
      </c>
      <c r="BG214" s="193">
        <f t="shared" si="744"/>
        <v>3733703.9375</v>
      </c>
      <c r="BH214" s="193">
        <f t="shared" si="744"/>
        <v>3441912.2708333335</v>
      </c>
    </row>
    <row r="215" spans="2:60" x14ac:dyDescent="0.2">
      <c r="B215" s="68"/>
      <c r="C215" s="89"/>
      <c r="D215" s="70"/>
      <c r="E215" s="71"/>
      <c r="F215" s="72"/>
      <c r="G215" s="90"/>
      <c r="H215" s="74"/>
      <c r="I215" s="74"/>
      <c r="J215" s="74"/>
      <c r="K215" s="74"/>
      <c r="L215" s="74"/>
      <c r="M215" s="74"/>
      <c r="N215" s="59"/>
      <c r="O215" s="91"/>
      <c r="P215" s="72"/>
      <c r="Q215" s="72"/>
      <c r="R215" s="92"/>
      <c r="S215" s="93"/>
      <c r="T215" s="94"/>
      <c r="U215" s="96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  <c r="AO215" s="253"/>
      <c r="AP215" s="253"/>
      <c r="AQ215" s="253"/>
      <c r="AR215" s="253"/>
      <c r="AS215" s="253"/>
      <c r="AT215" s="253"/>
      <c r="AU215" s="60"/>
      <c r="AV215" s="301"/>
    </row>
    <row r="216" spans="2:60" x14ac:dyDescent="0.2">
      <c r="B216" s="10" t="s">
        <v>65</v>
      </c>
      <c r="E216" s="165"/>
      <c r="G216"/>
      <c r="H216" s="166"/>
      <c r="O216" s="25"/>
      <c r="P216" s="167"/>
      <c r="R216" s="167"/>
      <c r="U216" s="168"/>
      <c r="V216" s="172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X216" s="172"/>
      <c r="AY216" s="172"/>
      <c r="AZ216" s="25"/>
      <c r="BB216" s="172"/>
      <c r="BC216" s="12"/>
      <c r="BD216" s="25"/>
    </row>
    <row r="217" spans="2:60" x14ac:dyDescent="0.2">
      <c r="B217" s="10"/>
      <c r="E217" s="165"/>
      <c r="G217"/>
      <c r="H217" s="166"/>
      <c r="O217" s="25"/>
      <c r="P217" s="167"/>
      <c r="R217" s="167"/>
      <c r="U217" s="168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s="172"/>
      <c r="AV217" s="225"/>
      <c r="AX217" s="172"/>
      <c r="AY217" s="172"/>
      <c r="AZ217" s="25"/>
      <c r="BB217" s="172"/>
      <c r="BC217" s="12"/>
      <c r="BD217" s="25"/>
    </row>
    <row r="218" spans="2:60" x14ac:dyDescent="0.2">
      <c r="C218" s="173" t="s">
        <v>12</v>
      </c>
      <c r="E218" s="165"/>
      <c r="G218"/>
      <c r="H218" s="166"/>
      <c r="O218" s="25"/>
      <c r="P218" s="167"/>
      <c r="R218" s="167"/>
      <c r="U218" s="168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X218" s="172"/>
      <c r="AY218" s="172"/>
      <c r="AZ218" s="25"/>
      <c r="BB218" s="172"/>
      <c r="BC218" s="12"/>
      <c r="BD218" s="25"/>
    </row>
    <row r="219" spans="2:60" x14ac:dyDescent="0.2">
      <c r="C219" s="172" t="s">
        <v>46</v>
      </c>
      <c r="E219" s="165"/>
      <c r="G219"/>
      <c r="H219" s="174" t="e">
        <f>#REF!</f>
        <v>#REF!</v>
      </c>
      <c r="O219" s="25"/>
      <c r="P219" s="167"/>
      <c r="R219" s="167"/>
      <c r="U219" s="168"/>
      <c r="V219" s="172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X219" s="172"/>
      <c r="AY219" s="172"/>
      <c r="AZ219" s="25"/>
      <c r="BB219" s="172"/>
      <c r="BC219" s="12"/>
      <c r="BD219" s="25"/>
    </row>
    <row r="220" spans="2:60" x14ac:dyDescent="0.2">
      <c r="C220" s="172" t="s">
        <v>66</v>
      </c>
      <c r="E220" s="165"/>
      <c r="G220"/>
      <c r="H220" s="174" t="e">
        <f>#REF!</f>
        <v>#REF!</v>
      </c>
      <c r="O220" s="25"/>
      <c r="P220" s="167"/>
      <c r="R220" s="167"/>
      <c r="U220" s="168"/>
      <c r="V220" s="172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X220" s="172"/>
      <c r="AY220" s="172"/>
      <c r="AZ220" s="25"/>
      <c r="BB220" s="172"/>
      <c r="BC220" s="12"/>
      <c r="BD220" s="25"/>
    </row>
    <row r="221" spans="2:60" x14ac:dyDescent="0.2">
      <c r="C221" s="172"/>
      <c r="E221" s="165"/>
      <c r="G221"/>
      <c r="H221" s="175" t="e">
        <f>H219-H220</f>
        <v>#REF!</v>
      </c>
      <c r="O221" s="25"/>
      <c r="P221" s="167"/>
      <c r="R221" s="167"/>
      <c r="U221" s="168"/>
      <c r="V221" s="172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X221" s="172"/>
      <c r="AY221" s="172"/>
      <c r="AZ221" s="25"/>
      <c r="BB221" s="172"/>
      <c r="BC221" s="12"/>
      <c r="BD221" s="25"/>
    </row>
    <row r="222" spans="2:60" x14ac:dyDescent="0.2">
      <c r="E222" s="165"/>
      <c r="G222"/>
      <c r="H222" s="166"/>
      <c r="O222" s="25"/>
      <c r="P222" s="167"/>
      <c r="R222" s="167"/>
      <c r="U222" s="168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X222" s="172"/>
      <c r="AY222" s="172"/>
      <c r="AZ222" s="25"/>
      <c r="BB222" s="172"/>
      <c r="BC222" s="12"/>
      <c r="BD222" s="25"/>
    </row>
    <row r="223" spans="2:60" x14ac:dyDescent="0.2">
      <c r="E223" s="165"/>
      <c r="G223"/>
      <c r="H223" s="166"/>
      <c r="O223" s="25"/>
      <c r="P223" s="167"/>
      <c r="R223" s="167"/>
      <c r="U223" s="168"/>
      <c r="V223" s="172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  <c r="AU223" s="172"/>
      <c r="AX223" s="172"/>
      <c r="AY223" s="172"/>
      <c r="AZ223" s="25"/>
      <c r="BB223" s="172"/>
      <c r="BC223" s="12"/>
      <c r="BD223" s="25"/>
    </row>
    <row r="224" spans="2:60" x14ac:dyDescent="0.2">
      <c r="C224" s="173" t="s">
        <v>25</v>
      </c>
      <c r="E224" s="165"/>
      <c r="G224"/>
      <c r="H224" s="166"/>
      <c r="O224" s="25"/>
      <c r="P224" s="167"/>
      <c r="R224" s="167"/>
      <c r="U224" s="168"/>
      <c r="V224" s="172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X224" s="172"/>
      <c r="AY224" s="172"/>
      <c r="AZ224" s="25"/>
      <c r="BB224" s="172"/>
      <c r="BC224" s="12"/>
      <c r="BD224" s="25"/>
    </row>
    <row r="225" spans="2:56" x14ac:dyDescent="0.2">
      <c r="E225" s="165"/>
      <c r="G225"/>
      <c r="H225" s="166"/>
      <c r="O225" s="25"/>
      <c r="P225" s="167"/>
      <c r="R225" s="167"/>
      <c r="U225" s="168"/>
      <c r="V225" s="17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  <c r="AU225" s="172"/>
      <c r="AX225" s="172"/>
      <c r="AY225" s="172"/>
      <c r="AZ225" s="25"/>
      <c r="BB225" s="172"/>
      <c r="BC225" s="12"/>
      <c r="BD225" s="25"/>
    </row>
    <row r="226" spans="2:56" x14ac:dyDescent="0.2">
      <c r="C226" s="172" t="s">
        <v>46</v>
      </c>
      <c r="D226"/>
      <c r="G226" s="172"/>
      <c r="H226" s="172" t="e">
        <f>#REF!</f>
        <v>#REF!</v>
      </c>
      <c r="I226"/>
      <c r="L226" s="176"/>
      <c r="O226" s="25"/>
      <c r="P226" s="167"/>
      <c r="R226" s="167"/>
      <c r="U226" s="168"/>
      <c r="V226" s="172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X226" s="172"/>
      <c r="AY226" s="172"/>
      <c r="AZ226" s="25"/>
      <c r="BB226" s="172"/>
      <c r="BC226" s="12"/>
      <c r="BD226" s="25"/>
    </row>
    <row r="227" spans="2:56" x14ac:dyDescent="0.2">
      <c r="C227" s="172" t="s">
        <v>66</v>
      </c>
      <c r="D227"/>
      <c r="G227" s="172"/>
      <c r="H227" s="177" t="e">
        <f>#REF!</f>
        <v>#REF!</v>
      </c>
      <c r="I227"/>
      <c r="L227" s="176"/>
      <c r="O227" s="25"/>
      <c r="P227" s="167"/>
      <c r="R227" s="167"/>
      <c r="U227" s="168"/>
      <c r="V227" s="172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  <c r="AU227" s="172"/>
      <c r="AX227" s="172"/>
      <c r="AY227" s="172"/>
      <c r="AZ227" s="25"/>
      <c r="BB227" s="172"/>
      <c r="BC227" s="12"/>
      <c r="BD227" s="25"/>
    </row>
    <row r="228" spans="2:56" x14ac:dyDescent="0.2">
      <c r="C228" s="172"/>
      <c r="D228"/>
      <c r="G228" s="172"/>
      <c r="H228" s="172" t="e">
        <f>H226-H227</f>
        <v>#REF!</v>
      </c>
      <c r="I228"/>
      <c r="L228" s="176"/>
      <c r="O228" s="25"/>
      <c r="P228" s="167"/>
      <c r="R228" s="167"/>
      <c r="U228" s="168"/>
      <c r="V228" s="172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X228" s="172"/>
      <c r="AY228" s="172"/>
      <c r="AZ228" s="25"/>
      <c r="BB228" s="172"/>
      <c r="BC228" s="12"/>
      <c r="BD228" s="25"/>
    </row>
    <row r="229" spans="2:56" x14ac:dyDescent="0.2">
      <c r="C229" s="172" t="s">
        <v>67</v>
      </c>
      <c r="D229"/>
      <c r="G229" s="172" t="e">
        <f>#REF!</f>
        <v>#REF!</v>
      </c>
      <c r="H229"/>
      <c r="I229"/>
      <c r="L229" s="176"/>
      <c r="O229" s="25"/>
      <c r="P229" s="167"/>
      <c r="R229" s="167"/>
      <c r="U229" s="168"/>
      <c r="V229" s="172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  <c r="AO229" s="172"/>
      <c r="AP229" s="172"/>
      <c r="AQ229" s="172"/>
      <c r="AR229" s="172"/>
      <c r="AS229" s="172"/>
      <c r="AT229" s="172"/>
      <c r="AU229" s="172"/>
      <c r="AX229" s="172"/>
      <c r="AY229" s="172"/>
      <c r="AZ229" s="25"/>
      <c r="BB229" s="172"/>
      <c r="BC229" s="12"/>
      <c r="BD229" s="25"/>
    </row>
    <row r="230" spans="2:56" x14ac:dyDescent="0.2">
      <c r="C230" s="172" t="s">
        <v>68</v>
      </c>
      <c r="D230"/>
      <c r="G230" s="177" t="e">
        <f>-#REF!</f>
        <v>#REF!</v>
      </c>
      <c r="H230"/>
      <c r="I230"/>
      <c r="O230" s="25"/>
      <c r="P230" s="167"/>
      <c r="R230" s="167"/>
      <c r="U230" s="168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X230" s="172"/>
      <c r="AY230" s="172"/>
      <c r="AZ230" s="25"/>
      <c r="BB230" s="172"/>
      <c r="BC230" s="12"/>
      <c r="BD230" s="25"/>
    </row>
    <row r="231" spans="2:56" x14ac:dyDescent="0.2">
      <c r="C231" s="24"/>
      <c r="D231"/>
      <c r="G231" s="172"/>
      <c r="H231" s="172" t="e">
        <f>SUM(G229:G231)</f>
        <v>#REF!</v>
      </c>
      <c r="I231"/>
      <c r="O231" s="25"/>
      <c r="P231" s="167"/>
      <c r="R231" s="167"/>
      <c r="U231" s="168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2"/>
      <c r="AP231" s="172"/>
      <c r="AQ231" s="172"/>
      <c r="AR231" s="172"/>
      <c r="AS231" s="172"/>
      <c r="AT231" s="172"/>
      <c r="AU231" s="172"/>
      <c r="AX231" s="172"/>
      <c r="AY231" s="172"/>
      <c r="AZ231" s="25"/>
      <c r="BB231" s="172"/>
      <c r="BC231" s="12"/>
      <c r="BD231" s="25"/>
    </row>
    <row r="232" spans="2:56" x14ac:dyDescent="0.2">
      <c r="B232" s="6"/>
      <c r="C232" s="172" t="s">
        <v>69</v>
      </c>
      <c r="D232"/>
      <c r="G232" s="172"/>
      <c r="H232" s="178" t="e">
        <f>H228-H231</f>
        <v>#REF!</v>
      </c>
      <c r="I232"/>
      <c r="O232" s="25"/>
      <c r="P232" s="167"/>
      <c r="R232" s="167"/>
      <c r="U232" s="168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X232" s="172"/>
      <c r="AY232" s="172"/>
      <c r="AZ232" s="25"/>
      <c r="BB232" s="172"/>
      <c r="BC232" s="12"/>
      <c r="BD232" s="25"/>
    </row>
    <row r="233" spans="2:56" x14ac:dyDescent="0.2">
      <c r="C233" s="172"/>
      <c r="D233" s="24"/>
      <c r="G233" s="172"/>
      <c r="H233"/>
      <c r="I233"/>
      <c r="O233" s="25"/>
      <c r="P233" s="167"/>
      <c r="R233" s="167"/>
      <c r="U233" s="168"/>
      <c r="V233" s="172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  <c r="AO233" s="172"/>
      <c r="AP233" s="172"/>
      <c r="AQ233" s="172"/>
      <c r="AR233" s="172"/>
      <c r="AS233" s="172"/>
      <c r="AT233" s="172"/>
      <c r="AU233" s="172"/>
      <c r="AX233" s="172"/>
      <c r="AY233" s="172"/>
      <c r="AZ233" s="25"/>
      <c r="BB233" s="172"/>
      <c r="BC233" s="12"/>
      <c r="BD233" s="25"/>
    </row>
    <row r="234" spans="2:56" x14ac:dyDescent="0.2">
      <c r="C234" s="172"/>
      <c r="D234" s="24"/>
      <c r="G234" s="172"/>
      <c r="H234"/>
      <c r="I234"/>
      <c r="O234" s="25"/>
      <c r="P234" s="167"/>
      <c r="R234" s="167"/>
      <c r="U234" s="168"/>
      <c r="V234" s="172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X234" s="172"/>
      <c r="AY234" s="172"/>
      <c r="AZ234" s="25"/>
      <c r="BB234" s="172"/>
      <c r="BC234" s="12"/>
      <c r="BD234" s="25"/>
    </row>
    <row r="235" spans="2:56" x14ac:dyDescent="0.2">
      <c r="B235" s="10" t="s">
        <v>70</v>
      </c>
      <c r="C235" s="172"/>
      <c r="D235" s="24"/>
      <c r="F235" s="172"/>
      <c r="G235" s="172"/>
      <c r="H235" s="172"/>
      <c r="O235" s="25"/>
      <c r="P235" s="167"/>
      <c r="R235" s="167"/>
      <c r="U235" s="168"/>
      <c r="V235" s="172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  <c r="AO235" s="172"/>
      <c r="AP235" s="172"/>
      <c r="AQ235" s="172"/>
      <c r="AR235" s="172"/>
      <c r="AS235" s="172"/>
      <c r="AT235" s="172"/>
      <c r="AU235" s="172"/>
      <c r="AX235" s="172"/>
      <c r="AY235" s="172"/>
      <c r="AZ235" s="25"/>
      <c r="BB235" s="172"/>
      <c r="BC235" s="12"/>
      <c r="BD235" s="25"/>
    </row>
    <row r="236" spans="2:56" x14ac:dyDescent="0.2">
      <c r="C236" s="172"/>
      <c r="D236" s="24"/>
      <c r="F236" s="172"/>
      <c r="G236" s="172"/>
      <c r="H236" s="172"/>
      <c r="O236" s="25"/>
      <c r="P236" s="167"/>
      <c r="R236" s="167"/>
      <c r="U236" s="168"/>
      <c r="V236" s="172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  <c r="AU236" s="172"/>
      <c r="AX236" s="172"/>
      <c r="AY236" s="172"/>
      <c r="AZ236" s="25"/>
      <c r="BB236" s="172"/>
      <c r="BC236" s="12"/>
      <c r="BD236" s="25"/>
    </row>
    <row r="237" spans="2:56" x14ac:dyDescent="0.2">
      <c r="C237" s="24">
        <v>1</v>
      </c>
      <c r="D237" s="174" t="s">
        <v>71</v>
      </c>
      <c r="E237" t="s">
        <v>72</v>
      </c>
      <c r="F237" s="172"/>
      <c r="G237" s="172" t="e">
        <f>G230</f>
        <v>#REF!</v>
      </c>
      <c r="H237"/>
      <c r="I237"/>
      <c r="J237"/>
      <c r="K237"/>
      <c r="L237"/>
      <c r="M237"/>
      <c r="N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</row>
    <row r="238" spans="2:56" x14ac:dyDescent="0.2">
      <c r="C238"/>
      <c r="D238" s="24" t="s">
        <v>73</v>
      </c>
      <c r="F238" t="s">
        <v>74</v>
      </c>
      <c r="G238" s="172"/>
      <c r="H238" s="172" t="e">
        <f>-G229</f>
        <v>#REF!</v>
      </c>
      <c r="I238"/>
      <c r="J238"/>
      <c r="K238"/>
      <c r="L238"/>
      <c r="M238"/>
      <c r="N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</row>
    <row r="239" spans="2:56" x14ac:dyDescent="0.2">
      <c r="C239"/>
      <c r="D239" s="24" t="s">
        <v>18</v>
      </c>
      <c r="F239" s="17" t="s">
        <v>19</v>
      </c>
      <c r="G239"/>
      <c r="H239" s="172" t="e">
        <f>G237-H238</f>
        <v>#REF!</v>
      </c>
      <c r="I239"/>
      <c r="J239"/>
      <c r="K239"/>
      <c r="L239"/>
      <c r="M239"/>
      <c r="N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 spans="2:56" x14ac:dyDescent="0.2">
      <c r="C240"/>
      <c r="D240"/>
      <c r="E240" s="13" t="s">
        <v>75</v>
      </c>
      <c r="G240"/>
      <c r="H240"/>
      <c r="I240"/>
      <c r="J240"/>
      <c r="K240"/>
      <c r="L240"/>
      <c r="M240"/>
      <c r="N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</row>
    <row r="241" spans="3:46" x14ac:dyDescent="0.2">
      <c r="C241"/>
      <c r="D241"/>
      <c r="G241"/>
      <c r="H241"/>
      <c r="I241"/>
      <c r="J241"/>
      <c r="K241"/>
      <c r="L241"/>
      <c r="M241"/>
      <c r="N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</sheetData>
  <mergeCells count="47">
    <mergeCell ref="AP6:AT6"/>
    <mergeCell ref="AP7:AP8"/>
    <mergeCell ref="AR7:AR8"/>
    <mergeCell ref="AS7:AS8"/>
    <mergeCell ref="AT7:AT8"/>
    <mergeCell ref="B6:B8"/>
    <mergeCell ref="C6:C8"/>
    <mergeCell ref="D6:D8"/>
    <mergeCell ref="E6:F8"/>
    <mergeCell ref="G6:G8"/>
    <mergeCell ref="H6:K6"/>
    <mergeCell ref="L6:N6"/>
    <mergeCell ref="O6:P6"/>
    <mergeCell ref="Q6:R6"/>
    <mergeCell ref="O7:O8"/>
    <mergeCell ref="H7:H8"/>
    <mergeCell ref="I7:I8"/>
    <mergeCell ref="J7:J8"/>
    <mergeCell ref="L7:L8"/>
    <mergeCell ref="M7:M8"/>
    <mergeCell ref="P7:P8"/>
    <mergeCell ref="Q7:Q8"/>
    <mergeCell ref="R7:R8"/>
    <mergeCell ref="AF6:AJ6"/>
    <mergeCell ref="AF7:AF8"/>
    <mergeCell ref="AH7:AH8"/>
    <mergeCell ref="AI7:AI8"/>
    <mergeCell ref="AJ7:AJ8"/>
    <mergeCell ref="AC7:AC8"/>
    <mergeCell ref="AD7:AD8"/>
    <mergeCell ref="AE7:AE8"/>
    <mergeCell ref="S7:S8"/>
    <mergeCell ref="T7:T8"/>
    <mergeCell ref="U6:U8"/>
    <mergeCell ref="V6:Z6"/>
    <mergeCell ref="V7:V8"/>
    <mergeCell ref="X7:X8"/>
    <mergeCell ref="Y7:Y8"/>
    <mergeCell ref="Z7:Z8"/>
    <mergeCell ref="AA6:AE6"/>
    <mergeCell ref="AA7:AA8"/>
    <mergeCell ref="S6:T6"/>
    <mergeCell ref="AK6:AO6"/>
    <mergeCell ref="AK7:AK8"/>
    <mergeCell ref="AM7:AM8"/>
    <mergeCell ref="AN7:AN8"/>
    <mergeCell ref="AO7:AO8"/>
  </mergeCells>
  <pageMargins left="0.70866141732283472" right="0" top="0.27559055118110237" bottom="0.27559055118110237" header="0.31496062992125984" footer="0.31496062992125984"/>
  <pageSetup paperSize="9" scale="57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H100"/>
  <sheetViews>
    <sheetView workbookViewId="0">
      <pane xSplit="16" ySplit="10" topLeftCell="AK35" activePane="bottomRight" state="frozen"/>
      <selection pane="topRight" activeCell="Q1" sqref="Q1"/>
      <selection pane="bottomLeft" activeCell="A11" sqref="A11"/>
      <selection pane="bottomRight" activeCell="AT75" sqref="AT75"/>
    </sheetView>
  </sheetViews>
  <sheetFormatPr defaultRowHeight="10.199999999999999" x14ac:dyDescent="0.2"/>
  <cols>
    <col min="1" max="1" width="2.85546875" customWidth="1"/>
    <col min="3" max="3" width="14.7109375" style="179" bestFit="1" customWidth="1"/>
    <col min="4" max="4" width="14.7109375" style="23" customWidth="1"/>
    <col min="5" max="5" width="2.85546875" customWidth="1"/>
    <col min="6" max="6" width="35.140625" customWidth="1"/>
    <col min="7" max="7" width="14" style="24" customWidth="1"/>
    <col min="8" max="8" width="17.42578125" style="25" hidden="1" customWidth="1"/>
    <col min="9" max="9" width="16.85546875" style="25" hidden="1" customWidth="1"/>
    <col min="10" max="10" width="15.7109375" style="25" hidden="1" customWidth="1"/>
    <col min="11" max="13" width="18.42578125" style="25" hidden="1" customWidth="1"/>
    <col min="14" max="14" width="14.140625" style="25" customWidth="1"/>
    <col min="15" max="16" width="7.85546875" customWidth="1"/>
    <col min="17" max="17" width="8.28515625" customWidth="1"/>
    <col min="18" max="20" width="7.85546875" customWidth="1"/>
    <col min="21" max="21" width="15" customWidth="1"/>
    <col min="22" max="22" width="8" customWidth="1"/>
    <col min="23" max="23" width="7.140625" customWidth="1"/>
    <col min="24" max="25" width="15.85546875" customWidth="1"/>
    <col min="26" max="26" width="18.140625" customWidth="1"/>
    <col min="27" max="28" width="8.140625" customWidth="1"/>
    <col min="29" max="29" width="13.42578125" customWidth="1"/>
    <col min="30" max="30" width="14.140625" customWidth="1"/>
    <col min="31" max="31" width="15" customWidth="1"/>
    <col min="32" max="32" width="8.28515625" customWidth="1"/>
    <col min="33" max="33" width="7.85546875" customWidth="1"/>
    <col min="34" max="34" width="16.42578125" customWidth="1"/>
    <col min="35" max="35" width="15.85546875" customWidth="1"/>
    <col min="36" max="36" width="15.28515625" customWidth="1"/>
    <col min="37" max="38" width="9" customWidth="1"/>
    <col min="39" max="39" width="14.42578125" customWidth="1"/>
    <col min="40" max="40" width="15.7109375" customWidth="1"/>
    <col min="41" max="41" width="16.42578125" customWidth="1"/>
    <col min="42" max="42" width="8.7109375" customWidth="1"/>
    <col min="43" max="43" width="8.42578125" customWidth="1"/>
    <col min="44" max="46" width="16.42578125" customWidth="1"/>
    <col min="47" max="47" width="1.42578125" customWidth="1"/>
    <col min="48" max="48" width="14" customWidth="1"/>
    <col min="49" max="60" width="12.85546875" customWidth="1"/>
    <col min="61" max="61" width="2.42578125" customWidth="1"/>
    <col min="62" max="62" width="12.140625" customWidth="1"/>
  </cols>
  <sheetData>
    <row r="1" spans="2:60" ht="10.8" thickBot="1" x14ac:dyDescent="0.25"/>
    <row r="2" spans="2:60" ht="10.5" customHeight="1" x14ac:dyDescent="0.2">
      <c r="B2" s="14" t="s">
        <v>293</v>
      </c>
      <c r="C2" s="180"/>
      <c r="D2" s="14"/>
      <c r="E2" s="15" t="s">
        <v>0</v>
      </c>
      <c r="F2" s="16" t="e">
        <f>#REF!</f>
        <v>#REF!</v>
      </c>
      <c r="G2" s="26"/>
      <c r="H2" s="27"/>
      <c r="I2" s="28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"/>
      <c r="W2" s="2"/>
      <c r="X2" s="2"/>
      <c r="Y2" s="2"/>
    </row>
    <row r="3" spans="2:60" ht="10.5" customHeight="1" x14ac:dyDescent="0.2">
      <c r="B3" s="1" t="s">
        <v>23</v>
      </c>
      <c r="C3" s="181"/>
      <c r="D3" s="1"/>
      <c r="E3" s="2" t="s">
        <v>0</v>
      </c>
      <c r="F3" s="3">
        <v>43830</v>
      </c>
      <c r="G3" s="31"/>
      <c r="H3" s="31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4"/>
      <c r="W3" s="34"/>
      <c r="X3" s="34"/>
      <c r="Y3" s="34"/>
    </row>
    <row r="4" spans="2:60" ht="11.25" customHeight="1" thickBot="1" x14ac:dyDescent="0.25">
      <c r="B4" s="4" t="s">
        <v>24</v>
      </c>
      <c r="C4" s="182"/>
      <c r="D4" s="4"/>
      <c r="E4" s="5" t="s">
        <v>0</v>
      </c>
      <c r="F4" s="4" t="s">
        <v>28</v>
      </c>
      <c r="G4" s="37"/>
      <c r="H4" s="37"/>
      <c r="I4" s="38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2"/>
      <c r="W4" s="2"/>
      <c r="X4" s="2"/>
      <c r="Y4" s="2"/>
    </row>
    <row r="6" spans="2:60" s="6" customFormat="1" ht="10.5" customHeight="1" x14ac:dyDescent="0.2">
      <c r="B6" s="391" t="s">
        <v>7</v>
      </c>
      <c r="C6" s="430" t="s">
        <v>29</v>
      </c>
      <c r="D6" s="444" t="s">
        <v>111</v>
      </c>
      <c r="E6" s="403" t="s">
        <v>30</v>
      </c>
      <c r="F6" s="404"/>
      <c r="G6" s="431" t="s">
        <v>31</v>
      </c>
      <c r="H6" s="413" t="s">
        <v>12</v>
      </c>
      <c r="I6" s="413"/>
      <c r="J6" s="413"/>
      <c r="K6" s="413"/>
      <c r="L6" s="418"/>
      <c r="M6" s="419"/>
      <c r="N6" s="420"/>
      <c r="O6" s="421" t="s">
        <v>33</v>
      </c>
      <c r="P6" s="423"/>
      <c r="Q6" s="396" t="s">
        <v>34</v>
      </c>
      <c r="R6" s="397"/>
      <c r="S6" s="396" t="s">
        <v>35</v>
      </c>
      <c r="T6" s="397"/>
      <c r="U6" s="392" t="s">
        <v>36</v>
      </c>
      <c r="V6" s="390">
        <v>44926</v>
      </c>
      <c r="W6" s="390"/>
      <c r="X6" s="390"/>
      <c r="Y6" s="390"/>
      <c r="Z6" s="390"/>
      <c r="AA6" s="390">
        <v>45291</v>
      </c>
      <c r="AB6" s="390"/>
      <c r="AC6" s="390"/>
      <c r="AD6" s="390"/>
      <c r="AE6" s="390"/>
      <c r="AF6" s="390">
        <v>45657</v>
      </c>
      <c r="AG6" s="390"/>
      <c r="AH6" s="390"/>
      <c r="AI6" s="390"/>
      <c r="AJ6" s="390"/>
      <c r="AK6" s="390">
        <v>46022</v>
      </c>
      <c r="AL6" s="390"/>
      <c r="AM6" s="390"/>
      <c r="AN6" s="390"/>
      <c r="AO6" s="390"/>
      <c r="AP6" s="390">
        <v>46387</v>
      </c>
      <c r="AQ6" s="390"/>
      <c r="AR6" s="390"/>
      <c r="AS6" s="390"/>
      <c r="AT6" s="390"/>
      <c r="AU6" s="283"/>
    </row>
    <row r="7" spans="2:60" s="6" customFormat="1" ht="10.5" customHeight="1" x14ac:dyDescent="0.2">
      <c r="B7" s="391"/>
      <c r="C7" s="430"/>
      <c r="D7" s="445"/>
      <c r="E7" s="405"/>
      <c r="F7" s="406"/>
      <c r="G7" s="432"/>
      <c r="H7" s="414">
        <v>43100</v>
      </c>
      <c r="I7" s="415" t="s">
        <v>38</v>
      </c>
      <c r="J7" s="415" t="s">
        <v>39</v>
      </c>
      <c r="K7" s="44">
        <v>43465</v>
      </c>
      <c r="L7" s="415" t="s">
        <v>8</v>
      </c>
      <c r="M7" s="415" t="s">
        <v>9</v>
      </c>
      <c r="N7" s="44">
        <f>K7</f>
        <v>43465</v>
      </c>
      <c r="O7" s="394" t="s">
        <v>43</v>
      </c>
      <c r="P7" s="394" t="s">
        <v>42</v>
      </c>
      <c r="Q7" s="394" t="s">
        <v>42</v>
      </c>
      <c r="R7" s="394" t="s">
        <v>43</v>
      </c>
      <c r="S7" s="394" t="s">
        <v>42</v>
      </c>
      <c r="T7" s="394" t="s">
        <v>43</v>
      </c>
      <c r="U7" s="392"/>
      <c r="V7" s="391" t="s">
        <v>44</v>
      </c>
      <c r="W7" s="275"/>
      <c r="X7" s="392" t="s">
        <v>45</v>
      </c>
      <c r="Y7" s="393" t="s">
        <v>25</v>
      </c>
      <c r="Z7" s="392" t="s">
        <v>26</v>
      </c>
      <c r="AA7" s="391" t="s">
        <v>44</v>
      </c>
      <c r="AB7" s="275"/>
      <c r="AC7" s="392" t="s">
        <v>45</v>
      </c>
      <c r="AD7" s="393" t="s">
        <v>25</v>
      </c>
      <c r="AE7" s="392" t="s">
        <v>26</v>
      </c>
      <c r="AF7" s="391" t="s">
        <v>44</v>
      </c>
      <c r="AG7" s="275"/>
      <c r="AH7" s="392" t="s">
        <v>45</v>
      </c>
      <c r="AI7" s="393" t="s">
        <v>25</v>
      </c>
      <c r="AJ7" s="392" t="s">
        <v>26</v>
      </c>
      <c r="AK7" s="391" t="s">
        <v>44</v>
      </c>
      <c r="AL7" s="348"/>
      <c r="AM7" s="392" t="s">
        <v>45</v>
      </c>
      <c r="AN7" s="393" t="s">
        <v>25</v>
      </c>
      <c r="AO7" s="392" t="s">
        <v>26</v>
      </c>
      <c r="AP7" s="391" t="s">
        <v>44</v>
      </c>
      <c r="AQ7" s="387"/>
      <c r="AR7" s="392" t="s">
        <v>45</v>
      </c>
      <c r="AS7" s="393" t="s">
        <v>25</v>
      </c>
      <c r="AT7" s="392" t="s">
        <v>26</v>
      </c>
      <c r="AU7" s="276"/>
      <c r="AV7" s="197" t="s">
        <v>272</v>
      </c>
      <c r="AW7" s="197" t="s">
        <v>260</v>
      </c>
      <c r="AX7" s="197" t="s">
        <v>261</v>
      </c>
      <c r="AY7" s="197" t="s">
        <v>262</v>
      </c>
      <c r="AZ7" s="197" t="s">
        <v>263</v>
      </c>
      <c r="BA7" s="197" t="s">
        <v>264</v>
      </c>
      <c r="BB7" s="197" t="s">
        <v>265</v>
      </c>
      <c r="BC7" s="197" t="s">
        <v>266</v>
      </c>
      <c r="BD7" s="197" t="s">
        <v>267</v>
      </c>
      <c r="BE7" s="197" t="s">
        <v>268</v>
      </c>
      <c r="BF7" s="197" t="s">
        <v>269</v>
      </c>
      <c r="BG7" s="197" t="s">
        <v>270</v>
      </c>
      <c r="BH7" s="197" t="s">
        <v>271</v>
      </c>
    </row>
    <row r="8" spans="2:60" s="6" customFormat="1" x14ac:dyDescent="0.2">
      <c r="B8" s="391"/>
      <c r="C8" s="430"/>
      <c r="D8" s="446"/>
      <c r="E8" s="407"/>
      <c r="F8" s="408"/>
      <c r="G8" s="433"/>
      <c r="H8" s="415"/>
      <c r="I8" s="415"/>
      <c r="J8" s="415"/>
      <c r="K8" s="48" t="s">
        <v>10</v>
      </c>
      <c r="L8" s="415"/>
      <c r="M8" s="415"/>
      <c r="N8" s="48" t="s">
        <v>11</v>
      </c>
      <c r="O8" s="395"/>
      <c r="P8" s="395"/>
      <c r="Q8" s="395"/>
      <c r="R8" s="395"/>
      <c r="S8" s="395"/>
      <c r="T8" s="395"/>
      <c r="U8" s="392"/>
      <c r="V8" s="391"/>
      <c r="W8" s="275"/>
      <c r="X8" s="392"/>
      <c r="Y8" s="393"/>
      <c r="Z8" s="392"/>
      <c r="AA8" s="391"/>
      <c r="AB8" s="275"/>
      <c r="AC8" s="392"/>
      <c r="AD8" s="393"/>
      <c r="AE8" s="392"/>
      <c r="AF8" s="391"/>
      <c r="AG8" s="275"/>
      <c r="AH8" s="392"/>
      <c r="AI8" s="393"/>
      <c r="AJ8" s="392"/>
      <c r="AK8" s="391"/>
      <c r="AL8" s="348"/>
      <c r="AM8" s="392"/>
      <c r="AN8" s="393"/>
      <c r="AO8" s="392"/>
      <c r="AP8" s="391"/>
      <c r="AQ8" s="387"/>
      <c r="AR8" s="392"/>
      <c r="AS8" s="393"/>
      <c r="AT8" s="392"/>
      <c r="AU8" s="47"/>
      <c r="AV8" s="198">
        <v>2026</v>
      </c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</row>
    <row r="9" spans="2:60" x14ac:dyDescent="0.2">
      <c r="B9" s="52"/>
      <c r="C9" s="183"/>
      <c r="D9" s="54"/>
      <c r="E9" s="55"/>
      <c r="F9" s="56"/>
      <c r="G9" s="58"/>
      <c r="H9" s="59"/>
      <c r="I9" s="59"/>
      <c r="J9" s="59"/>
      <c r="K9" s="59"/>
      <c r="L9" s="59"/>
      <c r="M9" s="59"/>
      <c r="N9" s="59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367"/>
      <c r="AL9" s="367"/>
      <c r="AM9" s="367"/>
      <c r="AN9" s="367"/>
      <c r="AO9" s="367"/>
      <c r="AP9" s="367"/>
      <c r="AQ9" s="367"/>
      <c r="AR9" s="367"/>
      <c r="AS9" s="367"/>
      <c r="AT9" s="367"/>
    </row>
    <row r="10" spans="2:60" s="6" customFormat="1" x14ac:dyDescent="0.2">
      <c r="B10" s="61"/>
      <c r="C10" s="184" t="s">
        <v>15</v>
      </c>
      <c r="D10" s="63"/>
      <c r="E10" s="64"/>
      <c r="F10" s="65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1"/>
      <c r="W10" s="61"/>
      <c r="X10" s="67"/>
      <c r="Y10" s="67"/>
      <c r="Z10" s="67"/>
      <c r="AA10" s="61"/>
      <c r="AB10" s="61"/>
      <c r="AC10" s="67"/>
      <c r="AD10" s="67"/>
      <c r="AE10" s="67"/>
      <c r="AF10" s="61"/>
      <c r="AG10" s="61"/>
      <c r="AH10" s="67"/>
      <c r="AI10" s="67"/>
      <c r="AJ10" s="67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</row>
    <row r="11" spans="2:60" x14ac:dyDescent="0.2">
      <c r="B11" s="68"/>
      <c r="C11" s="89"/>
      <c r="D11" s="70"/>
      <c r="E11" s="71"/>
      <c r="F11" s="72"/>
      <c r="G11" s="73"/>
      <c r="H11" s="74"/>
      <c r="I11" s="74"/>
      <c r="J11" s="74"/>
      <c r="K11" s="74"/>
      <c r="L11" s="74"/>
      <c r="M11" s="74"/>
      <c r="N11" s="74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367"/>
      <c r="AL11" s="367"/>
      <c r="AM11" s="367"/>
      <c r="AN11" s="367"/>
      <c r="AO11" s="367"/>
      <c r="AP11" s="367"/>
      <c r="AQ11" s="367"/>
      <c r="AR11" s="367"/>
      <c r="AS11" s="367"/>
      <c r="AT11" s="367"/>
    </row>
    <row r="12" spans="2:60" x14ac:dyDescent="0.2">
      <c r="B12" s="68"/>
      <c r="C12" s="89">
        <v>40792</v>
      </c>
      <c r="D12" s="70"/>
      <c r="E12" s="71" t="s">
        <v>246</v>
      </c>
      <c r="F12" s="72"/>
      <c r="G12" s="90">
        <v>0.125</v>
      </c>
      <c r="H12" s="74">
        <v>1400000</v>
      </c>
      <c r="I12" s="74"/>
      <c r="J12" s="74"/>
      <c r="K12" s="74">
        <f t="shared" ref="K12:K22" si="0">H12+I12-J12</f>
        <v>1400000</v>
      </c>
      <c r="L12" s="74"/>
      <c r="M12" s="74"/>
      <c r="N12" s="74">
        <f t="shared" ref="N12:N21" si="1">K12+L12-M12</f>
        <v>1400000</v>
      </c>
      <c r="O12" s="91">
        <f>100%/G12</f>
        <v>8</v>
      </c>
      <c r="P12" s="72">
        <f>O12*12</f>
        <v>96</v>
      </c>
      <c r="Q12" s="72">
        <f>MONTH(C12)</f>
        <v>9</v>
      </c>
      <c r="R12" s="92">
        <f>YEAR(C12)</f>
        <v>2011</v>
      </c>
      <c r="S12" s="93">
        <f t="shared" ref="S12:S22" si="2">IF(Q12=1, 12, Q12-1)</f>
        <v>8</v>
      </c>
      <c r="T12" s="94">
        <f t="shared" ref="T12:T22" si="3">IF(Q12=1,R12+O12-1,R12+O12)</f>
        <v>2019</v>
      </c>
      <c r="U12" s="96">
        <f>N12/P12</f>
        <v>14583.333333333334</v>
      </c>
      <c r="V12" s="73"/>
      <c r="W12" s="73"/>
      <c r="X12" s="96">
        <f t="shared" ref="X12:X22" si="4">V12*U12</f>
        <v>0</v>
      </c>
      <c r="Y12" s="96">
        <v>1400000.0000000002</v>
      </c>
      <c r="Z12" s="96">
        <f t="shared" ref="Z12:Z22" si="5">N12-Y12</f>
        <v>0</v>
      </c>
      <c r="AA12" s="73"/>
      <c r="AB12" s="73"/>
      <c r="AC12" s="96">
        <f t="shared" ref="AC12:AC22" si="6">AA12*U12</f>
        <v>0</v>
      </c>
      <c r="AD12" s="96">
        <f t="shared" ref="AD12:AD22" si="7">Y12+AC12</f>
        <v>1400000.0000000002</v>
      </c>
      <c r="AE12" s="96">
        <f t="shared" ref="AE12:AE22" si="8">N12-AD12</f>
        <v>0</v>
      </c>
      <c r="AF12" s="73"/>
      <c r="AG12" s="73"/>
      <c r="AH12" s="96">
        <f>AF12*U12</f>
        <v>0</v>
      </c>
      <c r="AI12" s="96">
        <f t="shared" ref="AI12:AI22" si="9">AD12+AH12</f>
        <v>1400000.0000000002</v>
      </c>
      <c r="AJ12" s="96">
        <f>N12-AI12</f>
        <v>0</v>
      </c>
      <c r="AK12" s="73"/>
      <c r="AL12" s="73"/>
      <c r="AM12" s="96">
        <f>AK12*U12</f>
        <v>0</v>
      </c>
      <c r="AN12" s="96">
        <f>AI12+AM12</f>
        <v>1400000.0000000002</v>
      </c>
      <c r="AO12" s="96">
        <f>N12-AN12</f>
        <v>0</v>
      </c>
      <c r="AP12" s="73"/>
      <c r="AQ12" s="73"/>
      <c r="AR12" s="96">
        <f>AP12*Z12</f>
        <v>0</v>
      </c>
      <c r="AS12" s="96">
        <f>AN12+AR12</f>
        <v>1400000.0000000002</v>
      </c>
      <c r="AT12" s="96">
        <f>N12-AS12</f>
        <v>0</v>
      </c>
      <c r="AU12" s="286"/>
      <c r="AV12" s="202">
        <f>SUM(AW12:BH12)</f>
        <v>0</v>
      </c>
      <c r="AW12" s="203">
        <f>+U12*0</f>
        <v>0</v>
      </c>
      <c r="AX12" s="203">
        <f>+U12*0</f>
        <v>0</v>
      </c>
      <c r="AY12" s="203">
        <f>+U12*0</f>
        <v>0</v>
      </c>
      <c r="AZ12" s="203">
        <f>+U12*0</f>
        <v>0</v>
      </c>
      <c r="BA12" s="203">
        <f t="shared" ref="BA12:BA18" si="10">+U12*0</f>
        <v>0</v>
      </c>
      <c r="BB12" s="203">
        <f t="shared" ref="BB12:BB18" si="11">+U12*0</f>
        <v>0</v>
      </c>
      <c r="BC12" s="203">
        <f t="shared" ref="BC12:BC18" si="12">+U12*0</f>
        <v>0</v>
      </c>
      <c r="BD12" s="203">
        <f t="shared" ref="BD12:BD18" si="13">+U12*0</f>
        <v>0</v>
      </c>
      <c r="BE12" s="203">
        <f t="shared" ref="BE12:BE18" si="14">+U12*0</f>
        <v>0</v>
      </c>
      <c r="BF12" s="203">
        <f t="shared" ref="BF12:BF18" si="15">+U12*0</f>
        <v>0</v>
      </c>
      <c r="BG12" s="203">
        <f t="shared" ref="BG12:BG18" si="16">+U12*0</f>
        <v>0</v>
      </c>
      <c r="BH12" s="203">
        <f t="shared" ref="BH12:BH18" si="17">+U12*0</f>
        <v>0</v>
      </c>
    </row>
    <row r="13" spans="2:60" x14ac:dyDescent="0.2">
      <c r="B13" s="68"/>
      <c r="C13" s="89">
        <v>40843</v>
      </c>
      <c r="D13" s="70"/>
      <c r="E13" s="71" t="s">
        <v>247</v>
      </c>
      <c r="F13" s="72"/>
      <c r="G13" s="90">
        <v>0.125</v>
      </c>
      <c r="H13" s="74">
        <v>1800000</v>
      </c>
      <c r="I13" s="74"/>
      <c r="J13" s="74"/>
      <c r="K13" s="74">
        <f t="shared" si="0"/>
        <v>1800000</v>
      </c>
      <c r="L13" s="74"/>
      <c r="M13" s="74"/>
      <c r="N13" s="74">
        <f t="shared" si="1"/>
        <v>1800000</v>
      </c>
      <c r="O13" s="91">
        <f t="shared" ref="O13:O22" si="18">100%/G13</f>
        <v>8</v>
      </c>
      <c r="P13" s="72">
        <f t="shared" ref="P13:P22" si="19">O13*12</f>
        <v>96</v>
      </c>
      <c r="Q13" s="72">
        <f t="shared" ref="Q13:Q22" si="20">MONTH(C13)</f>
        <v>10</v>
      </c>
      <c r="R13" s="92">
        <f t="shared" ref="R13:R22" si="21">YEAR(C13)</f>
        <v>2011</v>
      </c>
      <c r="S13" s="93">
        <f t="shared" si="2"/>
        <v>9</v>
      </c>
      <c r="T13" s="94">
        <f t="shared" si="3"/>
        <v>2019</v>
      </c>
      <c r="U13" s="96">
        <f t="shared" ref="U13:U22" si="22">N13/P13</f>
        <v>18750</v>
      </c>
      <c r="V13" s="73"/>
      <c r="W13" s="73"/>
      <c r="X13" s="96">
        <f t="shared" si="4"/>
        <v>0</v>
      </c>
      <c r="Y13" s="96">
        <v>1800000</v>
      </c>
      <c r="Z13" s="96">
        <f t="shared" si="5"/>
        <v>0</v>
      </c>
      <c r="AA13" s="73"/>
      <c r="AB13" s="73"/>
      <c r="AC13" s="96">
        <f t="shared" si="6"/>
        <v>0</v>
      </c>
      <c r="AD13" s="96">
        <f t="shared" si="7"/>
        <v>1800000</v>
      </c>
      <c r="AE13" s="96">
        <f t="shared" si="8"/>
        <v>0</v>
      </c>
      <c r="AF13" s="73"/>
      <c r="AG13" s="73"/>
      <c r="AH13" s="96">
        <f t="shared" ref="AH13:AH22" si="23">AF13*U13</f>
        <v>0</v>
      </c>
      <c r="AI13" s="96">
        <f t="shared" si="9"/>
        <v>1800000</v>
      </c>
      <c r="AJ13" s="96">
        <f t="shared" ref="AJ13:AJ27" si="24">N13-AI13</f>
        <v>0</v>
      </c>
      <c r="AK13" s="73"/>
      <c r="AL13" s="73"/>
      <c r="AM13" s="96">
        <f t="shared" ref="AM13:AM22" si="25">AK13*U13</f>
        <v>0</v>
      </c>
      <c r="AN13" s="96">
        <f t="shared" ref="AN13:AN22" si="26">AI13+AM13</f>
        <v>1800000</v>
      </c>
      <c r="AO13" s="96">
        <f t="shared" ref="AO13:AO22" si="27">N13-AN13</f>
        <v>0</v>
      </c>
      <c r="AP13" s="73"/>
      <c r="AQ13" s="73"/>
      <c r="AR13" s="96">
        <f t="shared" ref="AR13:AR21" si="28">AP13*Z13</f>
        <v>0</v>
      </c>
      <c r="AS13" s="96">
        <f t="shared" ref="AS13:AS18" si="29">AN13+AR13</f>
        <v>1800000</v>
      </c>
      <c r="AT13" s="96">
        <f t="shared" ref="AT13:AT22" si="30">N13-AS13</f>
        <v>0</v>
      </c>
      <c r="AU13" s="286"/>
      <c r="AV13" s="202">
        <f t="shared" ref="AV13:AV22" si="31">SUM(AW13:BH13)</f>
        <v>0</v>
      </c>
      <c r="AW13" s="203">
        <f>+U13*0</f>
        <v>0</v>
      </c>
      <c r="AX13" s="203">
        <f>+U13*0</f>
        <v>0</v>
      </c>
      <c r="AY13" s="203">
        <f>+U13*0</f>
        <v>0</v>
      </c>
      <c r="AZ13" s="203">
        <f>+U13*0</f>
        <v>0</v>
      </c>
      <c r="BA13" s="203">
        <f t="shared" si="10"/>
        <v>0</v>
      </c>
      <c r="BB13" s="203">
        <f t="shared" si="11"/>
        <v>0</v>
      </c>
      <c r="BC13" s="203">
        <f t="shared" si="12"/>
        <v>0</v>
      </c>
      <c r="BD13" s="203">
        <f t="shared" si="13"/>
        <v>0</v>
      </c>
      <c r="BE13" s="203">
        <f t="shared" si="14"/>
        <v>0</v>
      </c>
      <c r="BF13" s="203">
        <f t="shared" si="15"/>
        <v>0</v>
      </c>
      <c r="BG13" s="203">
        <f t="shared" si="16"/>
        <v>0</v>
      </c>
      <c r="BH13" s="203">
        <f t="shared" si="17"/>
        <v>0</v>
      </c>
    </row>
    <row r="14" spans="2:60" x14ac:dyDescent="0.2">
      <c r="B14" s="68"/>
      <c r="C14" s="89">
        <v>41351</v>
      </c>
      <c r="D14" s="70"/>
      <c r="E14" s="71" t="s">
        <v>248</v>
      </c>
      <c r="F14" s="72"/>
      <c r="G14" s="90">
        <v>0.125</v>
      </c>
      <c r="H14" s="74">
        <v>10100000</v>
      </c>
      <c r="I14" s="74"/>
      <c r="J14" s="74"/>
      <c r="K14" s="74">
        <f t="shared" si="0"/>
        <v>10100000</v>
      </c>
      <c r="L14" s="74"/>
      <c r="M14" s="74"/>
      <c r="N14" s="74">
        <f t="shared" si="1"/>
        <v>10100000</v>
      </c>
      <c r="O14" s="91">
        <f t="shared" si="18"/>
        <v>8</v>
      </c>
      <c r="P14" s="72">
        <f t="shared" si="19"/>
        <v>96</v>
      </c>
      <c r="Q14" s="72">
        <f t="shared" si="20"/>
        <v>3</v>
      </c>
      <c r="R14" s="92">
        <f t="shared" si="21"/>
        <v>2013</v>
      </c>
      <c r="S14" s="93">
        <f t="shared" si="2"/>
        <v>2</v>
      </c>
      <c r="T14" s="94">
        <f t="shared" si="3"/>
        <v>2021</v>
      </c>
      <c r="U14" s="96">
        <f t="shared" si="22"/>
        <v>105208.33333333333</v>
      </c>
      <c r="V14" s="73"/>
      <c r="W14" s="73"/>
      <c r="X14" s="96">
        <f t="shared" si="4"/>
        <v>0</v>
      </c>
      <c r="Y14" s="96">
        <v>10099999.999999998</v>
      </c>
      <c r="Z14" s="96">
        <f t="shared" si="5"/>
        <v>0</v>
      </c>
      <c r="AA14" s="73"/>
      <c r="AB14" s="73"/>
      <c r="AC14" s="96">
        <f t="shared" si="6"/>
        <v>0</v>
      </c>
      <c r="AD14" s="96">
        <f t="shared" si="7"/>
        <v>10099999.999999998</v>
      </c>
      <c r="AE14" s="96">
        <f t="shared" si="8"/>
        <v>0</v>
      </c>
      <c r="AF14" s="73"/>
      <c r="AG14" s="73"/>
      <c r="AH14" s="96">
        <f t="shared" si="23"/>
        <v>0</v>
      </c>
      <c r="AI14" s="96">
        <f t="shared" si="9"/>
        <v>10099999.999999998</v>
      </c>
      <c r="AJ14" s="96">
        <f t="shared" si="24"/>
        <v>0</v>
      </c>
      <c r="AK14" s="73"/>
      <c r="AL14" s="73"/>
      <c r="AM14" s="96">
        <f t="shared" si="25"/>
        <v>0</v>
      </c>
      <c r="AN14" s="96">
        <f t="shared" si="26"/>
        <v>10099999.999999998</v>
      </c>
      <c r="AO14" s="96">
        <f t="shared" si="27"/>
        <v>0</v>
      </c>
      <c r="AP14" s="73"/>
      <c r="AQ14" s="73"/>
      <c r="AR14" s="96">
        <f t="shared" si="28"/>
        <v>0</v>
      </c>
      <c r="AS14" s="96">
        <f t="shared" si="29"/>
        <v>10099999.999999998</v>
      </c>
      <c r="AT14" s="96">
        <f t="shared" si="30"/>
        <v>0</v>
      </c>
      <c r="AU14" s="286"/>
      <c r="AV14" s="202">
        <f t="shared" si="31"/>
        <v>0</v>
      </c>
      <c r="AW14" s="203">
        <f>+U14*0</f>
        <v>0</v>
      </c>
      <c r="AX14" s="203">
        <f>+U14*0</f>
        <v>0</v>
      </c>
      <c r="AY14" s="203">
        <f>+U14*0</f>
        <v>0</v>
      </c>
      <c r="AZ14" s="203">
        <f>+U14*0</f>
        <v>0</v>
      </c>
      <c r="BA14" s="203">
        <f t="shared" si="10"/>
        <v>0</v>
      </c>
      <c r="BB14" s="203">
        <f t="shared" si="11"/>
        <v>0</v>
      </c>
      <c r="BC14" s="203">
        <f t="shared" si="12"/>
        <v>0</v>
      </c>
      <c r="BD14" s="203">
        <f t="shared" si="13"/>
        <v>0</v>
      </c>
      <c r="BE14" s="203">
        <f t="shared" si="14"/>
        <v>0</v>
      </c>
      <c r="BF14" s="203">
        <f t="shared" si="15"/>
        <v>0</v>
      </c>
      <c r="BG14" s="203">
        <f t="shared" si="16"/>
        <v>0</v>
      </c>
      <c r="BH14" s="203">
        <f t="shared" si="17"/>
        <v>0</v>
      </c>
    </row>
    <row r="15" spans="2:60" x14ac:dyDescent="0.2">
      <c r="B15" s="68"/>
      <c r="C15" s="89">
        <v>41572</v>
      </c>
      <c r="D15" s="70"/>
      <c r="E15" s="71" t="s">
        <v>249</v>
      </c>
      <c r="F15" s="72"/>
      <c r="G15" s="90">
        <v>0.125</v>
      </c>
      <c r="H15" s="74">
        <v>970000</v>
      </c>
      <c r="I15" s="74"/>
      <c r="J15" s="74"/>
      <c r="K15" s="74">
        <f t="shared" si="0"/>
        <v>970000</v>
      </c>
      <c r="L15" s="74"/>
      <c r="M15" s="74"/>
      <c r="N15" s="74">
        <f t="shared" si="1"/>
        <v>970000</v>
      </c>
      <c r="O15" s="91">
        <f t="shared" si="18"/>
        <v>8</v>
      </c>
      <c r="P15" s="72">
        <f t="shared" si="19"/>
        <v>96</v>
      </c>
      <c r="Q15" s="72">
        <f t="shared" si="20"/>
        <v>10</v>
      </c>
      <c r="R15" s="92">
        <f t="shared" si="21"/>
        <v>2013</v>
      </c>
      <c r="S15" s="93">
        <f t="shared" si="2"/>
        <v>9</v>
      </c>
      <c r="T15" s="94">
        <f t="shared" si="3"/>
        <v>2021</v>
      </c>
      <c r="U15" s="96">
        <f t="shared" si="22"/>
        <v>10104.166666666666</v>
      </c>
      <c r="V15" s="73"/>
      <c r="W15" s="73"/>
      <c r="X15" s="96">
        <f t="shared" si="4"/>
        <v>0</v>
      </c>
      <c r="Y15" s="96">
        <v>970000</v>
      </c>
      <c r="Z15" s="96">
        <f t="shared" si="5"/>
        <v>0</v>
      </c>
      <c r="AA15" s="73"/>
      <c r="AB15" s="73"/>
      <c r="AC15" s="96">
        <f t="shared" si="6"/>
        <v>0</v>
      </c>
      <c r="AD15" s="96">
        <f t="shared" si="7"/>
        <v>970000</v>
      </c>
      <c r="AE15" s="96">
        <f t="shared" si="8"/>
        <v>0</v>
      </c>
      <c r="AF15" s="73"/>
      <c r="AG15" s="73"/>
      <c r="AH15" s="96">
        <f t="shared" si="23"/>
        <v>0</v>
      </c>
      <c r="AI15" s="96">
        <f t="shared" si="9"/>
        <v>970000</v>
      </c>
      <c r="AJ15" s="96">
        <f t="shared" si="24"/>
        <v>0</v>
      </c>
      <c r="AK15" s="73"/>
      <c r="AL15" s="73"/>
      <c r="AM15" s="96">
        <f t="shared" si="25"/>
        <v>0</v>
      </c>
      <c r="AN15" s="96">
        <f t="shared" si="26"/>
        <v>970000</v>
      </c>
      <c r="AO15" s="96">
        <f t="shared" si="27"/>
        <v>0</v>
      </c>
      <c r="AP15" s="73"/>
      <c r="AQ15" s="73"/>
      <c r="AR15" s="96">
        <f t="shared" si="28"/>
        <v>0</v>
      </c>
      <c r="AS15" s="96">
        <f t="shared" si="29"/>
        <v>970000</v>
      </c>
      <c r="AT15" s="96">
        <f t="shared" si="30"/>
        <v>0</v>
      </c>
      <c r="AU15" s="286"/>
      <c r="AV15" s="202">
        <f t="shared" si="31"/>
        <v>0</v>
      </c>
      <c r="AW15" s="203">
        <f>+U15*0</f>
        <v>0</v>
      </c>
      <c r="AX15" s="203">
        <f>+U15*0</f>
        <v>0</v>
      </c>
      <c r="AY15" s="203">
        <f>+U15*0</f>
        <v>0</v>
      </c>
      <c r="AZ15" s="203">
        <f>+U15*0</f>
        <v>0</v>
      </c>
      <c r="BA15" s="203">
        <f t="shared" si="10"/>
        <v>0</v>
      </c>
      <c r="BB15" s="203">
        <f t="shared" si="11"/>
        <v>0</v>
      </c>
      <c r="BC15" s="203">
        <f t="shared" si="12"/>
        <v>0</v>
      </c>
      <c r="BD15" s="203">
        <f t="shared" si="13"/>
        <v>0</v>
      </c>
      <c r="BE15" s="203">
        <f t="shared" si="14"/>
        <v>0</v>
      </c>
      <c r="BF15" s="203">
        <f t="shared" si="15"/>
        <v>0</v>
      </c>
      <c r="BG15" s="203">
        <f t="shared" si="16"/>
        <v>0</v>
      </c>
      <c r="BH15" s="203">
        <f t="shared" si="17"/>
        <v>0</v>
      </c>
    </row>
    <row r="16" spans="2:60" x14ac:dyDescent="0.2">
      <c r="B16" s="68"/>
      <c r="C16" s="89">
        <v>42013</v>
      </c>
      <c r="D16" s="70"/>
      <c r="E16" s="71" t="s">
        <v>250</v>
      </c>
      <c r="F16" s="72"/>
      <c r="G16" s="90">
        <v>0.125</v>
      </c>
      <c r="H16" s="74">
        <v>637000</v>
      </c>
      <c r="I16" s="74"/>
      <c r="J16" s="74"/>
      <c r="K16" s="74">
        <f t="shared" si="0"/>
        <v>637000</v>
      </c>
      <c r="L16" s="74"/>
      <c r="M16" s="74"/>
      <c r="N16" s="74">
        <f t="shared" si="1"/>
        <v>637000</v>
      </c>
      <c r="O16" s="91">
        <f t="shared" si="18"/>
        <v>8</v>
      </c>
      <c r="P16" s="72">
        <f t="shared" si="19"/>
        <v>96</v>
      </c>
      <c r="Q16" s="72">
        <f t="shared" si="20"/>
        <v>1</v>
      </c>
      <c r="R16" s="92">
        <f t="shared" si="21"/>
        <v>2015</v>
      </c>
      <c r="S16" s="93">
        <f t="shared" si="2"/>
        <v>12</v>
      </c>
      <c r="T16" s="94">
        <f t="shared" si="3"/>
        <v>2022</v>
      </c>
      <c r="U16" s="96">
        <f t="shared" si="22"/>
        <v>6635.416666666667</v>
      </c>
      <c r="V16" s="73">
        <v>12</v>
      </c>
      <c r="W16" s="73">
        <v>96</v>
      </c>
      <c r="X16" s="96">
        <f t="shared" si="4"/>
        <v>79625</v>
      </c>
      <c r="Y16" s="96">
        <v>637000</v>
      </c>
      <c r="Z16" s="96">
        <f t="shared" si="5"/>
        <v>0</v>
      </c>
      <c r="AA16" s="73">
        <f>IF(W16&gt;=U16-0,U16-W16,0)</f>
        <v>0</v>
      </c>
      <c r="AB16" s="73">
        <f t="shared" ref="AB16:AB22" si="32">+W16+AA16</f>
        <v>96</v>
      </c>
      <c r="AC16" s="96">
        <f t="shared" si="6"/>
        <v>0</v>
      </c>
      <c r="AD16" s="96">
        <f t="shared" si="7"/>
        <v>637000</v>
      </c>
      <c r="AE16" s="96">
        <f t="shared" si="8"/>
        <v>0</v>
      </c>
      <c r="AF16" s="73"/>
      <c r="AG16" s="73"/>
      <c r="AH16" s="96">
        <f t="shared" si="23"/>
        <v>0</v>
      </c>
      <c r="AI16" s="96">
        <f t="shared" si="9"/>
        <v>637000</v>
      </c>
      <c r="AJ16" s="96">
        <f t="shared" si="24"/>
        <v>0</v>
      </c>
      <c r="AK16" s="73"/>
      <c r="AL16" s="73"/>
      <c r="AM16" s="96">
        <f t="shared" si="25"/>
        <v>0</v>
      </c>
      <c r="AN16" s="96">
        <f t="shared" si="26"/>
        <v>637000</v>
      </c>
      <c r="AO16" s="96">
        <f t="shared" si="27"/>
        <v>0</v>
      </c>
      <c r="AP16" s="73"/>
      <c r="AQ16" s="73"/>
      <c r="AR16" s="96">
        <f t="shared" si="28"/>
        <v>0</v>
      </c>
      <c r="AS16" s="96">
        <f t="shared" si="29"/>
        <v>637000</v>
      </c>
      <c r="AT16" s="96">
        <f t="shared" si="30"/>
        <v>0</v>
      </c>
      <c r="AU16" s="286"/>
      <c r="AV16" s="202">
        <f t="shared" si="31"/>
        <v>0</v>
      </c>
      <c r="AW16" s="203">
        <f>+U16*0</f>
        <v>0</v>
      </c>
      <c r="AX16" s="203">
        <f>+U16*0</f>
        <v>0</v>
      </c>
      <c r="AY16" s="203">
        <f>+U16*0</f>
        <v>0</v>
      </c>
      <c r="AZ16" s="203">
        <f>+U16*0</f>
        <v>0</v>
      </c>
      <c r="BA16" s="203">
        <f t="shared" si="10"/>
        <v>0</v>
      </c>
      <c r="BB16" s="203">
        <f t="shared" si="11"/>
        <v>0</v>
      </c>
      <c r="BC16" s="203">
        <f t="shared" si="12"/>
        <v>0</v>
      </c>
      <c r="BD16" s="203">
        <f t="shared" si="13"/>
        <v>0</v>
      </c>
      <c r="BE16" s="203">
        <f t="shared" si="14"/>
        <v>0</v>
      </c>
      <c r="BF16" s="203">
        <f t="shared" si="15"/>
        <v>0</v>
      </c>
      <c r="BG16" s="203">
        <f t="shared" si="16"/>
        <v>0</v>
      </c>
      <c r="BH16" s="203">
        <f t="shared" si="17"/>
        <v>0</v>
      </c>
    </row>
    <row r="17" spans="2:60" x14ac:dyDescent="0.2">
      <c r="B17" s="68"/>
      <c r="C17" s="89">
        <v>42146</v>
      </c>
      <c r="D17" s="70"/>
      <c r="E17" s="71" t="s">
        <v>251</v>
      </c>
      <c r="F17" s="72"/>
      <c r="G17" s="90">
        <v>0.125</v>
      </c>
      <c r="H17" s="74">
        <v>278000</v>
      </c>
      <c r="I17" s="74"/>
      <c r="J17" s="74"/>
      <c r="K17" s="74">
        <f t="shared" si="0"/>
        <v>278000</v>
      </c>
      <c r="L17" s="74"/>
      <c r="M17" s="74"/>
      <c r="N17" s="74">
        <f t="shared" si="1"/>
        <v>278000</v>
      </c>
      <c r="O17" s="91">
        <f t="shared" si="18"/>
        <v>8</v>
      </c>
      <c r="P17" s="72">
        <f t="shared" si="19"/>
        <v>96</v>
      </c>
      <c r="Q17" s="72">
        <f t="shared" si="20"/>
        <v>5</v>
      </c>
      <c r="R17" s="92">
        <f t="shared" si="21"/>
        <v>2015</v>
      </c>
      <c r="S17" s="93">
        <f t="shared" si="2"/>
        <v>4</v>
      </c>
      <c r="T17" s="94">
        <f t="shared" si="3"/>
        <v>2023</v>
      </c>
      <c r="U17" s="96">
        <f t="shared" si="22"/>
        <v>2895.8333333333335</v>
      </c>
      <c r="V17" s="73">
        <v>12</v>
      </c>
      <c r="W17" s="73">
        <v>92</v>
      </c>
      <c r="X17" s="96">
        <f t="shared" si="4"/>
        <v>34750</v>
      </c>
      <c r="Y17" s="96">
        <v>266416.66666666669</v>
      </c>
      <c r="Z17" s="96">
        <f t="shared" si="5"/>
        <v>11583.333333333314</v>
      </c>
      <c r="AA17" s="73">
        <f>IF(W17&gt;=U17-4,U17-W17,4)</f>
        <v>4</v>
      </c>
      <c r="AB17" s="73">
        <f t="shared" si="32"/>
        <v>96</v>
      </c>
      <c r="AC17" s="96">
        <f t="shared" si="6"/>
        <v>11583.333333333334</v>
      </c>
      <c r="AD17" s="96">
        <f t="shared" si="7"/>
        <v>278000</v>
      </c>
      <c r="AE17" s="96">
        <f t="shared" si="8"/>
        <v>0</v>
      </c>
      <c r="AF17" s="73">
        <f>IF(AB17&gt;=U17-0,U17-AB17,0)</f>
        <v>0</v>
      </c>
      <c r="AG17" s="73">
        <f t="shared" ref="AG17:AG22" si="33">+AB17+AF17</f>
        <v>96</v>
      </c>
      <c r="AH17" s="96">
        <f t="shared" si="23"/>
        <v>0</v>
      </c>
      <c r="AI17" s="96">
        <f t="shared" si="9"/>
        <v>278000</v>
      </c>
      <c r="AJ17" s="96">
        <f t="shared" si="24"/>
        <v>0</v>
      </c>
      <c r="AK17" s="73"/>
      <c r="AL17" s="73"/>
      <c r="AM17" s="96">
        <f t="shared" si="25"/>
        <v>0</v>
      </c>
      <c r="AN17" s="96">
        <f t="shared" si="26"/>
        <v>278000</v>
      </c>
      <c r="AO17" s="96">
        <f t="shared" si="27"/>
        <v>0</v>
      </c>
      <c r="AP17" s="73"/>
      <c r="AQ17" s="73"/>
      <c r="AR17" s="96">
        <f t="shared" si="28"/>
        <v>0</v>
      </c>
      <c r="AS17" s="96">
        <f t="shared" si="29"/>
        <v>278000</v>
      </c>
      <c r="AT17" s="96">
        <f t="shared" si="30"/>
        <v>0</v>
      </c>
      <c r="AU17" s="286"/>
      <c r="AV17" s="202">
        <f t="shared" si="31"/>
        <v>0</v>
      </c>
      <c r="AW17" s="203">
        <f t="shared" ref="AW17:AW18" si="34">+U17*0</f>
        <v>0</v>
      </c>
      <c r="AX17" s="203">
        <f t="shared" ref="AX17:AX18" si="35">+U17*0</f>
        <v>0</v>
      </c>
      <c r="AY17" s="203">
        <f t="shared" ref="AY17:AY18" si="36">+U17*0</f>
        <v>0</v>
      </c>
      <c r="AZ17" s="203">
        <f t="shared" ref="AZ17:AZ18" si="37">+U17*0</f>
        <v>0</v>
      </c>
      <c r="BA17" s="203">
        <f t="shared" si="10"/>
        <v>0</v>
      </c>
      <c r="BB17" s="203">
        <f t="shared" si="11"/>
        <v>0</v>
      </c>
      <c r="BC17" s="203">
        <f t="shared" si="12"/>
        <v>0</v>
      </c>
      <c r="BD17" s="203">
        <f t="shared" si="13"/>
        <v>0</v>
      </c>
      <c r="BE17" s="203">
        <f t="shared" si="14"/>
        <v>0</v>
      </c>
      <c r="BF17" s="203">
        <f t="shared" si="15"/>
        <v>0</v>
      </c>
      <c r="BG17" s="203">
        <f t="shared" si="16"/>
        <v>0</v>
      </c>
      <c r="BH17" s="203">
        <f t="shared" si="17"/>
        <v>0</v>
      </c>
    </row>
    <row r="18" spans="2:60" x14ac:dyDescent="0.2">
      <c r="B18" s="68"/>
      <c r="C18" s="89">
        <v>42252</v>
      </c>
      <c r="D18" s="70"/>
      <c r="E18" s="71" t="s">
        <v>252</v>
      </c>
      <c r="F18" s="72"/>
      <c r="G18" s="90">
        <v>0.125</v>
      </c>
      <c r="H18" s="74">
        <v>450000</v>
      </c>
      <c r="I18" s="74"/>
      <c r="J18" s="74"/>
      <c r="K18" s="74">
        <f t="shared" si="0"/>
        <v>450000</v>
      </c>
      <c r="L18" s="74"/>
      <c r="M18" s="74"/>
      <c r="N18" s="74">
        <f t="shared" si="1"/>
        <v>450000</v>
      </c>
      <c r="O18" s="91">
        <f t="shared" si="18"/>
        <v>8</v>
      </c>
      <c r="P18" s="72">
        <f t="shared" si="19"/>
        <v>96</v>
      </c>
      <c r="Q18" s="72">
        <f t="shared" si="20"/>
        <v>9</v>
      </c>
      <c r="R18" s="92">
        <f t="shared" si="21"/>
        <v>2015</v>
      </c>
      <c r="S18" s="93">
        <f t="shared" si="2"/>
        <v>8</v>
      </c>
      <c r="T18" s="94">
        <f t="shared" si="3"/>
        <v>2023</v>
      </c>
      <c r="U18" s="96">
        <f t="shared" si="22"/>
        <v>4687.5</v>
      </c>
      <c r="V18" s="73">
        <v>12</v>
      </c>
      <c r="W18" s="73">
        <v>88</v>
      </c>
      <c r="X18" s="96">
        <f t="shared" si="4"/>
        <v>56250</v>
      </c>
      <c r="Y18" s="96">
        <v>412500</v>
      </c>
      <c r="Z18" s="96">
        <f t="shared" si="5"/>
        <v>37500</v>
      </c>
      <c r="AA18" s="73">
        <f>IF(W18&gt;=U18-8,U18-W18,8)</f>
        <v>8</v>
      </c>
      <c r="AB18" s="73">
        <f t="shared" si="32"/>
        <v>96</v>
      </c>
      <c r="AC18" s="96">
        <f t="shared" si="6"/>
        <v>37500</v>
      </c>
      <c r="AD18" s="96">
        <f t="shared" si="7"/>
        <v>450000</v>
      </c>
      <c r="AE18" s="96">
        <f t="shared" si="8"/>
        <v>0</v>
      </c>
      <c r="AF18" s="73">
        <f>IF(AB18&gt;=U18-0,U18-AB18,0)</f>
        <v>0</v>
      </c>
      <c r="AG18" s="73">
        <f t="shared" si="33"/>
        <v>96</v>
      </c>
      <c r="AH18" s="96">
        <f t="shared" si="23"/>
        <v>0</v>
      </c>
      <c r="AI18" s="96">
        <f t="shared" si="9"/>
        <v>450000</v>
      </c>
      <c r="AJ18" s="96">
        <f t="shared" si="24"/>
        <v>0</v>
      </c>
      <c r="AK18" s="73"/>
      <c r="AL18" s="73"/>
      <c r="AM18" s="96">
        <f t="shared" si="25"/>
        <v>0</v>
      </c>
      <c r="AN18" s="96">
        <f t="shared" si="26"/>
        <v>450000</v>
      </c>
      <c r="AO18" s="96">
        <f t="shared" si="27"/>
        <v>0</v>
      </c>
      <c r="AP18" s="73"/>
      <c r="AQ18" s="73"/>
      <c r="AR18" s="96">
        <f t="shared" si="28"/>
        <v>0</v>
      </c>
      <c r="AS18" s="96">
        <f t="shared" si="29"/>
        <v>450000</v>
      </c>
      <c r="AT18" s="96">
        <f t="shared" si="30"/>
        <v>0</v>
      </c>
      <c r="AU18" s="286"/>
      <c r="AV18" s="202">
        <f t="shared" si="31"/>
        <v>0</v>
      </c>
      <c r="AW18" s="203">
        <f t="shared" si="34"/>
        <v>0</v>
      </c>
      <c r="AX18" s="203">
        <f t="shared" si="35"/>
        <v>0</v>
      </c>
      <c r="AY18" s="203">
        <f t="shared" si="36"/>
        <v>0</v>
      </c>
      <c r="AZ18" s="203">
        <f t="shared" si="37"/>
        <v>0</v>
      </c>
      <c r="BA18" s="203">
        <f t="shared" si="10"/>
        <v>0</v>
      </c>
      <c r="BB18" s="203">
        <f t="shared" si="11"/>
        <v>0</v>
      </c>
      <c r="BC18" s="203">
        <f t="shared" si="12"/>
        <v>0</v>
      </c>
      <c r="BD18" s="203">
        <f t="shared" si="13"/>
        <v>0</v>
      </c>
      <c r="BE18" s="203">
        <f t="shared" si="14"/>
        <v>0</v>
      </c>
      <c r="BF18" s="203">
        <f t="shared" si="15"/>
        <v>0</v>
      </c>
      <c r="BG18" s="203">
        <f t="shared" si="16"/>
        <v>0</v>
      </c>
      <c r="BH18" s="203">
        <f t="shared" si="17"/>
        <v>0</v>
      </c>
    </row>
    <row r="19" spans="2:60" x14ac:dyDescent="0.2">
      <c r="B19" s="68"/>
      <c r="C19" s="89">
        <v>42510</v>
      </c>
      <c r="D19" s="70"/>
      <c r="E19" s="71" t="s">
        <v>253</v>
      </c>
      <c r="F19" s="72"/>
      <c r="G19" s="90">
        <v>0.125</v>
      </c>
      <c r="H19" s="74">
        <v>550000</v>
      </c>
      <c r="I19" s="74"/>
      <c r="J19" s="74"/>
      <c r="K19" s="74">
        <f t="shared" si="0"/>
        <v>550000</v>
      </c>
      <c r="L19" s="74"/>
      <c r="M19" s="74"/>
      <c r="N19" s="74">
        <f t="shared" si="1"/>
        <v>550000</v>
      </c>
      <c r="O19" s="91">
        <f t="shared" si="18"/>
        <v>8</v>
      </c>
      <c r="P19" s="72">
        <f t="shared" si="19"/>
        <v>96</v>
      </c>
      <c r="Q19" s="72">
        <f t="shared" si="20"/>
        <v>5</v>
      </c>
      <c r="R19" s="92">
        <f t="shared" si="21"/>
        <v>2016</v>
      </c>
      <c r="S19" s="93">
        <f t="shared" si="2"/>
        <v>4</v>
      </c>
      <c r="T19" s="94">
        <f t="shared" si="3"/>
        <v>2024</v>
      </c>
      <c r="U19" s="96">
        <f t="shared" si="22"/>
        <v>5729.166666666667</v>
      </c>
      <c r="V19" s="73">
        <v>12</v>
      </c>
      <c r="W19" s="73">
        <v>80</v>
      </c>
      <c r="X19" s="96">
        <f t="shared" si="4"/>
        <v>68750</v>
      </c>
      <c r="Y19" s="96">
        <v>458333.33333333337</v>
      </c>
      <c r="Z19" s="96">
        <f t="shared" si="5"/>
        <v>91666.666666666628</v>
      </c>
      <c r="AA19" s="73">
        <f>IF(W19&gt;=U19-12,U19-W19,12)</f>
        <v>12</v>
      </c>
      <c r="AB19" s="73">
        <f t="shared" si="32"/>
        <v>92</v>
      </c>
      <c r="AC19" s="96">
        <f t="shared" si="6"/>
        <v>68750</v>
      </c>
      <c r="AD19" s="96">
        <f t="shared" si="7"/>
        <v>527083.33333333337</v>
      </c>
      <c r="AE19" s="96">
        <f t="shared" si="8"/>
        <v>22916.666666666628</v>
      </c>
      <c r="AF19" s="73">
        <f>IF(AB19&gt;=U19-4,U19-AB19,4)</f>
        <v>4</v>
      </c>
      <c r="AG19" s="73">
        <f t="shared" si="33"/>
        <v>96</v>
      </c>
      <c r="AH19" s="96">
        <f t="shared" si="23"/>
        <v>22916.666666666668</v>
      </c>
      <c r="AI19" s="96">
        <f t="shared" si="9"/>
        <v>550000</v>
      </c>
      <c r="AJ19" s="96">
        <f t="shared" si="24"/>
        <v>0</v>
      </c>
      <c r="AK19" s="73">
        <f>IF(AG19&gt;=U19-0,U19-AG19,0)</f>
        <v>0</v>
      </c>
      <c r="AL19" s="73">
        <f t="shared" ref="AL19:AL22" si="38">+AG19+AK19</f>
        <v>96</v>
      </c>
      <c r="AM19" s="96">
        <f t="shared" si="25"/>
        <v>0</v>
      </c>
      <c r="AN19" s="96">
        <f>AI19+AM19</f>
        <v>550000</v>
      </c>
      <c r="AO19" s="96">
        <f>N19-AN19</f>
        <v>0</v>
      </c>
      <c r="AP19" s="73">
        <f>IF(AL19&gt;=U19-0,U19-AL19,0)</f>
        <v>0</v>
      </c>
      <c r="AQ19" s="73">
        <f t="shared" ref="AQ19:AQ22" si="39">+AL19+AP19</f>
        <v>96</v>
      </c>
      <c r="AR19" s="96">
        <f t="shared" si="28"/>
        <v>0</v>
      </c>
      <c r="AS19" s="96">
        <f>AN19+AR19</f>
        <v>550000</v>
      </c>
      <c r="AT19" s="96">
        <f t="shared" si="30"/>
        <v>0</v>
      </c>
      <c r="AU19" s="286"/>
      <c r="AV19" s="202">
        <f t="shared" si="31"/>
        <v>0</v>
      </c>
      <c r="AW19" s="203">
        <f t="shared" ref="AW19:AW20" si="40">+U19*0</f>
        <v>0</v>
      </c>
      <c r="AX19" s="203">
        <f t="shared" ref="AX19:AX20" si="41">+U19*0</f>
        <v>0</v>
      </c>
      <c r="AY19" s="203">
        <f t="shared" ref="AY19:AY20" si="42">+U19*0</f>
        <v>0</v>
      </c>
      <c r="AZ19" s="203">
        <f t="shared" ref="AZ19:AZ20" si="43">+U19*0</f>
        <v>0</v>
      </c>
      <c r="BA19" s="203">
        <f t="shared" ref="BA19:BA20" si="44">+U19*0</f>
        <v>0</v>
      </c>
      <c r="BB19" s="203">
        <f t="shared" ref="BB19:BB20" si="45">+U19*0</f>
        <v>0</v>
      </c>
      <c r="BC19" s="203">
        <f t="shared" ref="BC19:BC20" si="46">+U19*0</f>
        <v>0</v>
      </c>
      <c r="BD19" s="203">
        <f t="shared" ref="BD19:BD20" si="47">+U19*0</f>
        <v>0</v>
      </c>
      <c r="BE19" s="203">
        <f t="shared" ref="BE19:BE20" si="48">+U19*0</f>
        <v>0</v>
      </c>
      <c r="BF19" s="203">
        <f t="shared" ref="BF19:BF20" si="49">+U19*0</f>
        <v>0</v>
      </c>
      <c r="BG19" s="203">
        <f t="shared" ref="BG19:BG20" si="50">+U19*0</f>
        <v>0</v>
      </c>
      <c r="BH19" s="203">
        <f t="shared" ref="BH19:BH20" si="51">+U19*0</f>
        <v>0</v>
      </c>
    </row>
    <row r="20" spans="2:60" x14ac:dyDescent="0.2">
      <c r="B20" s="68"/>
      <c r="C20" s="89">
        <v>42515</v>
      </c>
      <c r="D20" s="70"/>
      <c r="E20" s="71" t="s">
        <v>254</v>
      </c>
      <c r="F20" s="72"/>
      <c r="G20" s="90">
        <v>0.125</v>
      </c>
      <c r="H20" s="74">
        <v>1000000</v>
      </c>
      <c r="I20" s="74"/>
      <c r="J20" s="74"/>
      <c r="K20" s="74">
        <f t="shared" si="0"/>
        <v>1000000</v>
      </c>
      <c r="L20" s="74"/>
      <c r="M20" s="74"/>
      <c r="N20" s="74">
        <f t="shared" si="1"/>
        <v>1000000</v>
      </c>
      <c r="O20" s="91">
        <f t="shared" si="18"/>
        <v>8</v>
      </c>
      <c r="P20" s="72">
        <f t="shared" si="19"/>
        <v>96</v>
      </c>
      <c r="Q20" s="72">
        <f t="shared" si="20"/>
        <v>5</v>
      </c>
      <c r="R20" s="92">
        <f t="shared" si="21"/>
        <v>2016</v>
      </c>
      <c r="S20" s="93">
        <f t="shared" si="2"/>
        <v>4</v>
      </c>
      <c r="T20" s="94">
        <f t="shared" si="3"/>
        <v>2024</v>
      </c>
      <c r="U20" s="96">
        <f t="shared" si="22"/>
        <v>10416.666666666666</v>
      </c>
      <c r="V20" s="73">
        <v>12</v>
      </c>
      <c r="W20" s="73">
        <v>80</v>
      </c>
      <c r="X20" s="96">
        <f t="shared" si="4"/>
        <v>125000</v>
      </c>
      <c r="Y20" s="96">
        <v>833333.33333333326</v>
      </c>
      <c r="Z20" s="96">
        <f t="shared" si="5"/>
        <v>166666.66666666674</v>
      </c>
      <c r="AA20" s="73">
        <f>IF(W20&gt;=U20-12,U20-W20,12)</f>
        <v>12</v>
      </c>
      <c r="AB20" s="73">
        <f t="shared" si="32"/>
        <v>92</v>
      </c>
      <c r="AC20" s="96">
        <f t="shared" si="6"/>
        <v>125000</v>
      </c>
      <c r="AD20" s="96">
        <f t="shared" si="7"/>
        <v>958333.33333333326</v>
      </c>
      <c r="AE20" s="96">
        <f t="shared" si="8"/>
        <v>41666.666666666744</v>
      </c>
      <c r="AF20" s="73">
        <f>IF(AB20&gt;=U20-4,U20-AB20,4)</f>
        <v>4</v>
      </c>
      <c r="AG20" s="73">
        <f t="shared" si="33"/>
        <v>96</v>
      </c>
      <c r="AH20" s="96">
        <f t="shared" si="23"/>
        <v>41666.666666666664</v>
      </c>
      <c r="AI20" s="96">
        <f t="shared" si="9"/>
        <v>999999.99999999988</v>
      </c>
      <c r="AJ20" s="96">
        <f t="shared" si="24"/>
        <v>0</v>
      </c>
      <c r="AK20" s="73">
        <f>IF(AG20&gt;=U20-0,U20-AG20,0)</f>
        <v>0</v>
      </c>
      <c r="AL20" s="73">
        <f t="shared" si="38"/>
        <v>96</v>
      </c>
      <c r="AM20" s="96">
        <f t="shared" si="25"/>
        <v>0</v>
      </c>
      <c r="AN20" s="96">
        <f t="shared" si="26"/>
        <v>999999.99999999988</v>
      </c>
      <c r="AO20" s="96">
        <f t="shared" si="27"/>
        <v>0</v>
      </c>
      <c r="AP20" s="73">
        <f t="shared" ref="AP20:AP21" si="52">IF(AL20&gt;=U20-0,U20-AL20,0)</f>
        <v>0</v>
      </c>
      <c r="AQ20" s="73">
        <f t="shared" si="39"/>
        <v>96</v>
      </c>
      <c r="AR20" s="96">
        <f t="shared" si="28"/>
        <v>0</v>
      </c>
      <c r="AS20" s="96">
        <f t="shared" ref="AS20:AS22" si="53">AN20+AR20</f>
        <v>999999.99999999988</v>
      </c>
      <c r="AT20" s="96">
        <f t="shared" si="30"/>
        <v>0</v>
      </c>
      <c r="AU20" s="286"/>
      <c r="AV20" s="202">
        <f t="shared" si="31"/>
        <v>0</v>
      </c>
      <c r="AW20" s="203">
        <f t="shared" si="40"/>
        <v>0</v>
      </c>
      <c r="AX20" s="203">
        <f t="shared" si="41"/>
        <v>0</v>
      </c>
      <c r="AY20" s="203">
        <f t="shared" si="42"/>
        <v>0</v>
      </c>
      <c r="AZ20" s="203">
        <f t="shared" si="43"/>
        <v>0</v>
      </c>
      <c r="BA20" s="203">
        <f t="shared" si="44"/>
        <v>0</v>
      </c>
      <c r="BB20" s="203">
        <f t="shared" si="45"/>
        <v>0</v>
      </c>
      <c r="BC20" s="203">
        <f t="shared" si="46"/>
        <v>0</v>
      </c>
      <c r="BD20" s="203">
        <f t="shared" si="47"/>
        <v>0</v>
      </c>
      <c r="BE20" s="203">
        <f t="shared" si="48"/>
        <v>0</v>
      </c>
      <c r="BF20" s="203">
        <f t="shared" si="49"/>
        <v>0</v>
      </c>
      <c r="BG20" s="203">
        <f t="shared" si="50"/>
        <v>0</v>
      </c>
      <c r="BH20" s="203">
        <f t="shared" si="51"/>
        <v>0</v>
      </c>
    </row>
    <row r="21" spans="2:60" x14ac:dyDescent="0.2">
      <c r="B21" s="68"/>
      <c r="C21" s="89">
        <v>42812</v>
      </c>
      <c r="D21" s="70" t="s">
        <v>255</v>
      </c>
      <c r="E21" s="71" t="s">
        <v>256</v>
      </c>
      <c r="F21" s="72"/>
      <c r="G21" s="90">
        <v>0.125</v>
      </c>
      <c r="H21" s="74">
        <v>12521700</v>
      </c>
      <c r="I21" s="74"/>
      <c r="J21" s="74"/>
      <c r="K21" s="74">
        <f t="shared" si="0"/>
        <v>12521700</v>
      </c>
      <c r="L21" s="74"/>
      <c r="M21" s="74"/>
      <c r="N21" s="74">
        <f t="shared" si="1"/>
        <v>12521700</v>
      </c>
      <c r="O21" s="91">
        <f t="shared" si="18"/>
        <v>8</v>
      </c>
      <c r="P21" s="72">
        <f t="shared" si="19"/>
        <v>96</v>
      </c>
      <c r="Q21" s="72">
        <f t="shared" si="20"/>
        <v>3</v>
      </c>
      <c r="R21" s="92">
        <f t="shared" si="21"/>
        <v>2017</v>
      </c>
      <c r="S21" s="93">
        <f t="shared" si="2"/>
        <v>2</v>
      </c>
      <c r="T21" s="94">
        <f t="shared" si="3"/>
        <v>2025</v>
      </c>
      <c r="U21" s="96">
        <f t="shared" si="22"/>
        <v>130434.375</v>
      </c>
      <c r="V21" s="73">
        <v>12</v>
      </c>
      <c r="W21" s="73">
        <v>70</v>
      </c>
      <c r="X21" s="96">
        <f t="shared" si="4"/>
        <v>1565212.5</v>
      </c>
      <c r="Y21" s="96">
        <v>9130406.25</v>
      </c>
      <c r="Z21" s="96">
        <f t="shared" si="5"/>
        <v>3391293.75</v>
      </c>
      <c r="AA21" s="73">
        <f>IF(W21&gt;=U21-12,U21-W21,12)</f>
        <v>12</v>
      </c>
      <c r="AB21" s="73">
        <f t="shared" si="32"/>
        <v>82</v>
      </c>
      <c r="AC21" s="96">
        <f t="shared" si="6"/>
        <v>1565212.5</v>
      </c>
      <c r="AD21" s="96">
        <f t="shared" si="7"/>
        <v>10695618.75</v>
      </c>
      <c r="AE21" s="96">
        <f t="shared" si="8"/>
        <v>1826081.25</v>
      </c>
      <c r="AF21" s="73">
        <f>IF(AB21&gt;=U21-12,U21-AB21,12)</f>
        <v>12</v>
      </c>
      <c r="AG21" s="73">
        <f t="shared" si="33"/>
        <v>94</v>
      </c>
      <c r="AH21" s="96">
        <f t="shared" si="23"/>
        <v>1565212.5</v>
      </c>
      <c r="AI21" s="96">
        <f t="shared" si="9"/>
        <v>12260831.25</v>
      </c>
      <c r="AJ21" s="96">
        <f t="shared" si="24"/>
        <v>260868.75</v>
      </c>
      <c r="AK21" s="73">
        <f>IF(AG21&gt;=U21-2,U21-AG21,2)</f>
        <v>2</v>
      </c>
      <c r="AL21" s="73">
        <f t="shared" si="38"/>
        <v>96</v>
      </c>
      <c r="AM21" s="96">
        <f>AK21*U21</f>
        <v>260868.75</v>
      </c>
      <c r="AN21" s="96">
        <f t="shared" si="26"/>
        <v>12521700</v>
      </c>
      <c r="AO21" s="96">
        <f t="shared" si="27"/>
        <v>0</v>
      </c>
      <c r="AP21" s="73">
        <f t="shared" si="52"/>
        <v>0</v>
      </c>
      <c r="AQ21" s="73">
        <f t="shared" si="39"/>
        <v>96</v>
      </c>
      <c r="AR21" s="96">
        <f t="shared" si="28"/>
        <v>0</v>
      </c>
      <c r="AS21" s="96">
        <f t="shared" si="53"/>
        <v>12521700</v>
      </c>
      <c r="AT21" s="96">
        <f t="shared" si="30"/>
        <v>0</v>
      </c>
      <c r="AU21" s="286"/>
      <c r="AV21" s="202">
        <f t="shared" si="31"/>
        <v>0</v>
      </c>
      <c r="AW21" s="203">
        <f t="shared" ref="AW21" si="54">+U21*0</f>
        <v>0</v>
      </c>
      <c r="AX21" s="203">
        <f t="shared" ref="AX21" si="55">+U21*0</f>
        <v>0</v>
      </c>
      <c r="AY21" s="203">
        <f t="shared" ref="AY21" si="56">+U21*0</f>
        <v>0</v>
      </c>
      <c r="AZ21" s="203">
        <f t="shared" ref="AZ21" si="57">+U21*0</f>
        <v>0</v>
      </c>
      <c r="BA21" s="203">
        <f t="shared" ref="BA21" si="58">+U21*0</f>
        <v>0</v>
      </c>
      <c r="BB21" s="203">
        <f t="shared" ref="BB21" si="59">+U21*0</f>
        <v>0</v>
      </c>
      <c r="BC21" s="203">
        <f t="shared" ref="BC21" si="60">+U21*0</f>
        <v>0</v>
      </c>
      <c r="BD21" s="203">
        <f t="shared" ref="BD21" si="61">+U21*0</f>
        <v>0</v>
      </c>
      <c r="BE21" s="203">
        <f t="shared" ref="BE21" si="62">+U21*0</f>
        <v>0</v>
      </c>
      <c r="BF21" s="203">
        <f t="shared" ref="BF21" si="63">+U21*0</f>
        <v>0</v>
      </c>
      <c r="BG21" s="203">
        <f t="shared" ref="BG21" si="64">+U21*0</f>
        <v>0</v>
      </c>
      <c r="BH21" s="203">
        <f t="shared" ref="BH21" si="65">+U21*0</f>
        <v>0</v>
      </c>
    </row>
    <row r="22" spans="2:60" s="11" customFormat="1" x14ac:dyDescent="0.2">
      <c r="B22" s="97"/>
      <c r="C22" s="257">
        <v>43207</v>
      </c>
      <c r="D22" s="258" t="s">
        <v>257</v>
      </c>
      <c r="E22" s="259" t="s">
        <v>258</v>
      </c>
      <c r="F22" s="260"/>
      <c r="G22" s="261">
        <v>0.125</v>
      </c>
      <c r="H22" s="262"/>
      <c r="I22" s="262"/>
      <c r="J22" s="262"/>
      <c r="K22" s="262">
        <f t="shared" si="0"/>
        <v>0</v>
      </c>
      <c r="L22" s="262"/>
      <c r="M22" s="262"/>
      <c r="N22" s="262">
        <v>4770000</v>
      </c>
      <c r="O22" s="263">
        <f t="shared" si="18"/>
        <v>8</v>
      </c>
      <c r="P22" s="260">
        <f t="shared" si="19"/>
        <v>96</v>
      </c>
      <c r="Q22" s="101">
        <f t="shared" si="20"/>
        <v>4</v>
      </c>
      <c r="R22" s="105">
        <f t="shared" si="21"/>
        <v>2018</v>
      </c>
      <c r="S22" s="106">
        <f t="shared" si="2"/>
        <v>3</v>
      </c>
      <c r="T22" s="107">
        <f t="shared" si="3"/>
        <v>2026</v>
      </c>
      <c r="U22" s="96">
        <f t="shared" si="22"/>
        <v>49687.5</v>
      </c>
      <c r="V22" s="73">
        <v>12</v>
      </c>
      <c r="W22" s="73">
        <v>56</v>
      </c>
      <c r="X22" s="96">
        <f t="shared" si="4"/>
        <v>596250</v>
      </c>
      <c r="Y22" s="96">
        <v>2782500</v>
      </c>
      <c r="Z22" s="96">
        <f t="shared" si="5"/>
        <v>1987500</v>
      </c>
      <c r="AA22" s="73">
        <f>IF(W22&gt;=U22-12,U22-W22,12)</f>
        <v>12</v>
      </c>
      <c r="AB22" s="73">
        <f t="shared" si="32"/>
        <v>68</v>
      </c>
      <c r="AC22" s="96">
        <f t="shared" si="6"/>
        <v>596250</v>
      </c>
      <c r="AD22" s="96">
        <f t="shared" si="7"/>
        <v>3378750</v>
      </c>
      <c r="AE22" s="96">
        <f t="shared" si="8"/>
        <v>1391250</v>
      </c>
      <c r="AF22" s="73">
        <f>IF(AB22&gt;=U22-12,U22-AB22,12)</f>
        <v>12</v>
      </c>
      <c r="AG22" s="73">
        <f t="shared" si="33"/>
        <v>80</v>
      </c>
      <c r="AH22" s="96">
        <f t="shared" si="23"/>
        <v>596250</v>
      </c>
      <c r="AI22" s="96">
        <f t="shared" si="9"/>
        <v>3975000</v>
      </c>
      <c r="AJ22" s="96">
        <f t="shared" si="24"/>
        <v>795000</v>
      </c>
      <c r="AK22" s="73">
        <f>IF(AG22&gt;=U22-12,U22-AG22,12)</f>
        <v>12</v>
      </c>
      <c r="AL22" s="73">
        <f t="shared" si="38"/>
        <v>92</v>
      </c>
      <c r="AM22" s="96">
        <f t="shared" si="25"/>
        <v>596250</v>
      </c>
      <c r="AN22" s="96">
        <f t="shared" si="26"/>
        <v>4571250</v>
      </c>
      <c r="AO22" s="96">
        <f t="shared" si="27"/>
        <v>198750</v>
      </c>
      <c r="AP22" s="73">
        <f>IF(AL22&gt;=U22-4,U22-AL22,4)</f>
        <v>4</v>
      </c>
      <c r="AQ22" s="73">
        <f t="shared" si="39"/>
        <v>96</v>
      </c>
      <c r="AR22" s="96">
        <f>AP22*U22</f>
        <v>198750</v>
      </c>
      <c r="AS22" s="96">
        <f t="shared" si="53"/>
        <v>4770000</v>
      </c>
      <c r="AT22" s="96">
        <f t="shared" si="30"/>
        <v>0</v>
      </c>
      <c r="AU22" s="286"/>
      <c r="AV22" s="202">
        <f t="shared" si="31"/>
        <v>198750</v>
      </c>
      <c r="AW22" s="203">
        <f>+U22*1</f>
        <v>49687.5</v>
      </c>
      <c r="AX22" s="203">
        <f>+U22*1</f>
        <v>49687.5</v>
      </c>
      <c r="AY22" s="203">
        <f>+U22*1</f>
        <v>49687.5</v>
      </c>
      <c r="AZ22" s="203">
        <f>+U22*1</f>
        <v>49687.5</v>
      </c>
      <c r="BA22" s="203">
        <f t="shared" ref="BA22" si="66">+U22*0</f>
        <v>0</v>
      </c>
      <c r="BB22" s="203">
        <f t="shared" ref="BB22" si="67">+U22*0</f>
        <v>0</v>
      </c>
      <c r="BC22" s="203">
        <f t="shared" ref="BC22" si="68">+U22*0</f>
        <v>0</v>
      </c>
      <c r="BD22" s="203">
        <f t="shared" ref="BD22" si="69">+U22*0</f>
        <v>0</v>
      </c>
      <c r="BE22" s="203">
        <f t="shared" ref="BE22" si="70">+U22*0</f>
        <v>0</v>
      </c>
      <c r="BF22" s="203">
        <f t="shared" ref="BF22" si="71">+U22*0</f>
        <v>0</v>
      </c>
      <c r="BG22" s="203">
        <f t="shared" ref="BG22" si="72">+U22*0</f>
        <v>0</v>
      </c>
      <c r="BH22" s="203">
        <f t="shared" ref="BH22" si="73">+U22*0</f>
        <v>0</v>
      </c>
    </row>
    <row r="23" spans="2:60" s="11" customFormat="1" x14ac:dyDescent="0.2">
      <c r="B23" s="97"/>
      <c r="C23" s="257"/>
      <c r="D23" s="258"/>
      <c r="E23" s="259"/>
      <c r="F23" s="260"/>
      <c r="G23" s="261"/>
      <c r="H23" s="262"/>
      <c r="I23" s="262"/>
      <c r="J23" s="262"/>
      <c r="K23" s="262"/>
      <c r="L23" s="262"/>
      <c r="M23" s="262"/>
      <c r="N23" s="262"/>
      <c r="O23" s="263"/>
      <c r="P23" s="260"/>
      <c r="Q23" s="101"/>
      <c r="R23" s="105"/>
      <c r="S23" s="106"/>
      <c r="T23" s="107"/>
      <c r="U23" s="110"/>
      <c r="V23" s="73"/>
      <c r="W23" s="73"/>
      <c r="X23" s="96"/>
      <c r="Y23" s="96"/>
      <c r="Z23" s="96"/>
      <c r="AA23" s="73"/>
      <c r="AB23" s="73"/>
      <c r="AC23" s="96"/>
      <c r="AD23" s="96"/>
      <c r="AE23" s="96"/>
      <c r="AF23" s="73"/>
      <c r="AG23" s="73"/>
      <c r="AH23" s="96"/>
      <c r="AI23" s="96"/>
      <c r="AJ23" s="96"/>
      <c r="AK23" s="73"/>
      <c r="AL23" s="73"/>
      <c r="AM23" s="96"/>
      <c r="AN23" s="96"/>
      <c r="AO23" s="96"/>
      <c r="AP23" s="73"/>
      <c r="AQ23" s="73"/>
      <c r="AR23" s="96"/>
      <c r="AS23" s="96"/>
      <c r="AT23" s="96"/>
      <c r="AU23" s="172"/>
      <c r="AV23" s="226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</row>
    <row r="24" spans="2:60" s="11" customFormat="1" x14ac:dyDescent="0.2">
      <c r="B24" s="97"/>
      <c r="C24" s="257">
        <v>43749</v>
      </c>
      <c r="D24" s="258" t="s">
        <v>289</v>
      </c>
      <c r="E24" s="259" t="s">
        <v>290</v>
      </c>
      <c r="F24" s="260"/>
      <c r="G24" s="261">
        <v>0.125</v>
      </c>
      <c r="H24" s="262"/>
      <c r="I24" s="262"/>
      <c r="J24" s="262"/>
      <c r="K24" s="262"/>
      <c r="L24" s="262"/>
      <c r="M24" s="262"/>
      <c r="N24" s="262">
        <v>1850000</v>
      </c>
      <c r="O24" s="263">
        <f t="shared" ref="O24:O25" si="74">100%/G24</f>
        <v>8</v>
      </c>
      <c r="P24" s="260">
        <f t="shared" ref="P24:P25" si="75">O24*12</f>
        <v>96</v>
      </c>
      <c r="Q24" s="101">
        <f t="shared" ref="Q24:Q25" si="76">MONTH(C24)</f>
        <v>10</v>
      </c>
      <c r="R24" s="105">
        <f t="shared" ref="R24:R25" si="77">YEAR(C24)</f>
        <v>2019</v>
      </c>
      <c r="S24" s="106">
        <f t="shared" ref="S24:S27" si="78">IF(Q24=1, 12, Q24-1)</f>
        <v>9</v>
      </c>
      <c r="T24" s="107">
        <f t="shared" ref="T24:T27" si="79">IF(Q24=1,R24+O24-1,R24+O24)</f>
        <v>2027</v>
      </c>
      <c r="U24" s="96">
        <f t="shared" ref="U24:U25" si="80">N24/P24</f>
        <v>19270.833333333332</v>
      </c>
      <c r="V24" s="73">
        <v>12</v>
      </c>
      <c r="W24" s="73">
        <v>39</v>
      </c>
      <c r="X24" s="96">
        <f>V24*U24</f>
        <v>231250</v>
      </c>
      <c r="Y24" s="96">
        <v>751562.5</v>
      </c>
      <c r="Z24" s="96">
        <f>N24-Y24</f>
        <v>1098437.5</v>
      </c>
      <c r="AA24" s="73">
        <f>IF(W24&gt;=U24-12,U24-W24,12)</f>
        <v>12</v>
      </c>
      <c r="AB24" s="73">
        <f t="shared" ref="AB24:AB25" si="81">+W24+AA24</f>
        <v>51</v>
      </c>
      <c r="AC24" s="96">
        <f>AA24*U24</f>
        <v>231250</v>
      </c>
      <c r="AD24" s="96">
        <f t="shared" ref="AD24:AD25" si="82">Y24+AC24</f>
        <v>982812.5</v>
      </c>
      <c r="AE24" s="96">
        <f>N24-AD24</f>
        <v>867187.5</v>
      </c>
      <c r="AF24" s="73">
        <f t="shared" ref="AF24:AF25" si="83">IF(AB24&gt;=U24-12,U24-AB24,12)</f>
        <v>12</v>
      </c>
      <c r="AG24" s="73">
        <f t="shared" ref="AG24:AG25" si="84">+AB24+AF24</f>
        <v>63</v>
      </c>
      <c r="AH24" s="96">
        <f t="shared" ref="AH24:AH25" si="85">AF24*U24</f>
        <v>231250</v>
      </c>
      <c r="AI24" s="96">
        <f t="shared" ref="AI24:AI25" si="86">AD24+AH24</f>
        <v>1214062.5</v>
      </c>
      <c r="AJ24" s="96">
        <f t="shared" si="24"/>
        <v>635937.5</v>
      </c>
      <c r="AK24" s="73">
        <f t="shared" ref="AK24:AK25" si="87">IF(AG24&gt;=U24-12,U24-AG24,12)</f>
        <v>12</v>
      </c>
      <c r="AL24" s="73">
        <f t="shared" ref="AL24:AL25" si="88">+AG24+AK24</f>
        <v>75</v>
      </c>
      <c r="AM24" s="96">
        <f t="shared" ref="AM24:AM25" si="89">AK24*U24</f>
        <v>231250</v>
      </c>
      <c r="AN24" s="96">
        <f t="shared" ref="AN24:AN25" si="90">AI24+AM24</f>
        <v>1445312.5</v>
      </c>
      <c r="AO24" s="96">
        <f t="shared" ref="AO24:AO25" si="91">N24-AN24</f>
        <v>404687.5</v>
      </c>
      <c r="AP24" s="73">
        <f>IF(AL24&gt;=U24-12,U24-AL24,12)</f>
        <v>12</v>
      </c>
      <c r="AQ24" s="73">
        <f t="shared" ref="AQ24:AQ25" si="92">+AL24+AP24</f>
        <v>87</v>
      </c>
      <c r="AR24" s="96">
        <f t="shared" ref="AR24:AR25" si="93">AP24*U24</f>
        <v>231250</v>
      </c>
      <c r="AS24" s="96">
        <f t="shared" ref="AS24:AS25" si="94">AN24+AR24</f>
        <v>1676562.5</v>
      </c>
      <c r="AT24" s="96">
        <f t="shared" ref="AT24:AT25" si="95">N24-AS24</f>
        <v>173437.5</v>
      </c>
      <c r="AU24" s="286"/>
      <c r="AV24" s="202">
        <f t="shared" ref="AV24:AV25" si="96">SUM(AW24:BH24)</f>
        <v>231250.00000000003</v>
      </c>
      <c r="AW24" s="203">
        <f>+U24*1</f>
        <v>19270.833333333332</v>
      </c>
      <c r="AX24" s="203">
        <f>+U24*1</f>
        <v>19270.833333333332</v>
      </c>
      <c r="AY24" s="203">
        <f>+U24*1</f>
        <v>19270.833333333332</v>
      </c>
      <c r="AZ24" s="203">
        <f>+U24*1</f>
        <v>19270.833333333332</v>
      </c>
      <c r="BA24" s="203">
        <f>+U24*1</f>
        <v>19270.833333333332</v>
      </c>
      <c r="BB24" s="203">
        <f>+U24*1</f>
        <v>19270.833333333332</v>
      </c>
      <c r="BC24" s="203">
        <f>+U24*1</f>
        <v>19270.833333333332</v>
      </c>
      <c r="BD24" s="203">
        <f>+U24*1</f>
        <v>19270.833333333332</v>
      </c>
      <c r="BE24" s="203">
        <f>+U24*1</f>
        <v>19270.833333333332</v>
      </c>
      <c r="BF24" s="203">
        <f>+U24*1</f>
        <v>19270.833333333332</v>
      </c>
      <c r="BG24" s="203">
        <f>+U24*1</f>
        <v>19270.833333333332</v>
      </c>
      <c r="BH24" s="203">
        <f>+U24*1</f>
        <v>19270.833333333332</v>
      </c>
    </row>
    <row r="25" spans="2:60" s="11" customFormat="1" x14ac:dyDescent="0.2">
      <c r="B25" s="97"/>
      <c r="C25" s="257">
        <v>43769</v>
      </c>
      <c r="D25" s="258" t="s">
        <v>292</v>
      </c>
      <c r="E25" s="259" t="s">
        <v>291</v>
      </c>
      <c r="F25" s="260"/>
      <c r="G25" s="261">
        <v>0.125</v>
      </c>
      <c r="H25" s="262"/>
      <c r="I25" s="262"/>
      <c r="J25" s="262"/>
      <c r="K25" s="262"/>
      <c r="L25" s="262"/>
      <c r="M25" s="262"/>
      <c r="N25" s="262">
        <v>24818182</v>
      </c>
      <c r="O25" s="263">
        <f t="shared" si="74"/>
        <v>8</v>
      </c>
      <c r="P25" s="260">
        <f t="shared" si="75"/>
        <v>96</v>
      </c>
      <c r="Q25" s="101">
        <f t="shared" si="76"/>
        <v>10</v>
      </c>
      <c r="R25" s="105">
        <f t="shared" si="77"/>
        <v>2019</v>
      </c>
      <c r="S25" s="106">
        <f t="shared" si="78"/>
        <v>9</v>
      </c>
      <c r="T25" s="107">
        <f t="shared" si="79"/>
        <v>2027</v>
      </c>
      <c r="U25" s="96">
        <f t="shared" si="80"/>
        <v>258522.72916666666</v>
      </c>
      <c r="V25" s="73">
        <v>12</v>
      </c>
      <c r="W25" s="73">
        <v>39</v>
      </c>
      <c r="X25" s="96">
        <f>V25*U25</f>
        <v>3102272.75</v>
      </c>
      <c r="Y25" s="96">
        <v>10082386.4375</v>
      </c>
      <c r="Z25" s="96">
        <f>N25-Y25</f>
        <v>14735795.5625</v>
      </c>
      <c r="AA25" s="73">
        <f>IF(W25&gt;=U25-12,U25-W25,12)</f>
        <v>12</v>
      </c>
      <c r="AB25" s="73">
        <f t="shared" si="81"/>
        <v>51</v>
      </c>
      <c r="AC25" s="96">
        <f>AA25*U25</f>
        <v>3102272.75</v>
      </c>
      <c r="AD25" s="96">
        <f t="shared" si="82"/>
        <v>13184659.1875</v>
      </c>
      <c r="AE25" s="96">
        <f>N25-AD25</f>
        <v>11633522.8125</v>
      </c>
      <c r="AF25" s="73">
        <f t="shared" si="83"/>
        <v>12</v>
      </c>
      <c r="AG25" s="73">
        <f t="shared" si="84"/>
        <v>63</v>
      </c>
      <c r="AH25" s="96">
        <f t="shared" si="85"/>
        <v>3102272.75</v>
      </c>
      <c r="AI25" s="96">
        <f t="shared" si="86"/>
        <v>16286931.9375</v>
      </c>
      <c r="AJ25" s="96">
        <f t="shared" si="24"/>
        <v>8531250.0625</v>
      </c>
      <c r="AK25" s="73">
        <f t="shared" si="87"/>
        <v>12</v>
      </c>
      <c r="AL25" s="73">
        <f t="shared" si="88"/>
        <v>75</v>
      </c>
      <c r="AM25" s="96">
        <f t="shared" si="89"/>
        <v>3102272.75</v>
      </c>
      <c r="AN25" s="96">
        <f t="shared" si="90"/>
        <v>19389204.6875</v>
      </c>
      <c r="AO25" s="96">
        <f t="shared" si="91"/>
        <v>5428977.3125</v>
      </c>
      <c r="AP25" s="73">
        <f>IF(AL25&gt;=U25-12,U25-AL25,12)</f>
        <v>12</v>
      </c>
      <c r="AQ25" s="73">
        <f t="shared" si="92"/>
        <v>87</v>
      </c>
      <c r="AR25" s="96">
        <f t="shared" si="93"/>
        <v>3102272.75</v>
      </c>
      <c r="AS25" s="96">
        <f t="shared" si="94"/>
        <v>22491477.4375</v>
      </c>
      <c r="AT25" s="96">
        <f t="shared" si="95"/>
        <v>2326704.5625</v>
      </c>
      <c r="AU25" s="286"/>
      <c r="AV25" s="202">
        <f t="shared" si="96"/>
        <v>3102272.7499999995</v>
      </c>
      <c r="AW25" s="203">
        <f>+U25*1</f>
        <v>258522.72916666666</v>
      </c>
      <c r="AX25" s="203">
        <f>+U25*1</f>
        <v>258522.72916666666</v>
      </c>
      <c r="AY25" s="203">
        <f>+U25*1</f>
        <v>258522.72916666666</v>
      </c>
      <c r="AZ25" s="203">
        <f>+U25*1</f>
        <v>258522.72916666666</v>
      </c>
      <c r="BA25" s="203">
        <f>+U25*1</f>
        <v>258522.72916666666</v>
      </c>
      <c r="BB25" s="203">
        <f>+U25*1</f>
        <v>258522.72916666666</v>
      </c>
      <c r="BC25" s="203">
        <f>+U25*1</f>
        <v>258522.72916666666</v>
      </c>
      <c r="BD25" s="203">
        <f>+U25*1</f>
        <v>258522.72916666666</v>
      </c>
      <c r="BE25" s="203">
        <f>+U25*1</f>
        <v>258522.72916666666</v>
      </c>
      <c r="BF25" s="203">
        <f>+U25*1</f>
        <v>258522.72916666666</v>
      </c>
      <c r="BG25" s="203">
        <f>+U25*1</f>
        <v>258522.72916666666</v>
      </c>
      <c r="BH25" s="203">
        <f>+U25*1</f>
        <v>258522.72916666666</v>
      </c>
    </row>
    <row r="26" spans="2:60" s="11" customFormat="1" x14ac:dyDescent="0.2">
      <c r="B26" s="97"/>
      <c r="C26" s="257"/>
      <c r="D26" s="258"/>
      <c r="E26" s="259"/>
      <c r="F26" s="260"/>
      <c r="G26" s="261"/>
      <c r="H26" s="262"/>
      <c r="I26" s="262"/>
      <c r="J26" s="262"/>
      <c r="K26" s="262"/>
      <c r="L26" s="262"/>
      <c r="M26" s="262"/>
      <c r="N26" s="262"/>
      <c r="O26" s="263"/>
      <c r="P26" s="260"/>
      <c r="Q26" s="101"/>
      <c r="R26" s="105"/>
      <c r="S26" s="106"/>
      <c r="T26" s="107"/>
      <c r="U26" s="110"/>
      <c r="V26" s="109"/>
      <c r="W26" s="109"/>
      <c r="X26" s="110"/>
      <c r="Y26" s="110"/>
      <c r="Z26" s="110"/>
      <c r="AA26" s="109"/>
      <c r="AB26" s="109"/>
      <c r="AC26" s="110"/>
      <c r="AD26" s="110"/>
      <c r="AE26" s="110"/>
      <c r="AF26" s="109"/>
      <c r="AG26" s="109"/>
      <c r="AH26" s="110"/>
      <c r="AI26" s="110"/>
      <c r="AJ26" s="110"/>
      <c r="AK26" s="109"/>
      <c r="AL26" s="109"/>
      <c r="AM26" s="110"/>
      <c r="AN26" s="110"/>
      <c r="AO26" s="110"/>
      <c r="AP26" s="109"/>
      <c r="AQ26" s="109"/>
      <c r="AR26" s="110"/>
      <c r="AS26" s="110"/>
      <c r="AT26" s="110"/>
      <c r="AU26" s="285"/>
    </row>
    <row r="27" spans="2:60" s="11" customFormat="1" x14ac:dyDescent="0.2">
      <c r="B27" s="97"/>
      <c r="C27" s="257">
        <v>43902</v>
      </c>
      <c r="D27" s="258"/>
      <c r="E27" s="274">
        <v>1</v>
      </c>
      <c r="F27" s="260" t="s">
        <v>347</v>
      </c>
      <c r="G27" s="261">
        <v>0.125</v>
      </c>
      <c r="H27" s="262"/>
      <c r="I27" s="262"/>
      <c r="J27" s="262"/>
      <c r="K27" s="262"/>
      <c r="L27" s="262"/>
      <c r="M27" s="262"/>
      <c r="N27" s="262">
        <v>2000000</v>
      </c>
      <c r="O27" s="263">
        <v>8</v>
      </c>
      <c r="P27" s="260">
        <v>96</v>
      </c>
      <c r="Q27" s="101">
        <v>3</v>
      </c>
      <c r="R27" s="105">
        <v>2020</v>
      </c>
      <c r="S27" s="106">
        <f t="shared" si="78"/>
        <v>2</v>
      </c>
      <c r="T27" s="107">
        <f t="shared" si="79"/>
        <v>2028</v>
      </c>
      <c r="U27" s="96">
        <f>N27/P27</f>
        <v>20833.333333333332</v>
      </c>
      <c r="V27" s="73">
        <v>12</v>
      </c>
      <c r="W27" s="73">
        <v>34</v>
      </c>
      <c r="X27" s="96">
        <f>V27*U27</f>
        <v>250000</v>
      </c>
      <c r="Y27" s="96">
        <v>708333.33333333326</v>
      </c>
      <c r="Z27" s="96">
        <f>N27-Y27</f>
        <v>1291666.6666666667</v>
      </c>
      <c r="AA27" s="73">
        <f>IF(W27&gt;=U27-12,U27-W27,12)</f>
        <v>12</v>
      </c>
      <c r="AB27" s="73">
        <f>+W27+AA27</f>
        <v>46</v>
      </c>
      <c r="AC27" s="96">
        <f>AA27*U27</f>
        <v>250000</v>
      </c>
      <c r="AD27" s="96">
        <f t="shared" ref="AD27" si="97">Y27+AC27</f>
        <v>958333.33333333326</v>
      </c>
      <c r="AE27" s="96">
        <f>N27-AD27</f>
        <v>1041666.6666666667</v>
      </c>
      <c r="AF27" s="73">
        <f>IF(AB27&gt;=U27-12,U27-AB27,12)</f>
        <v>12</v>
      </c>
      <c r="AG27" s="73">
        <f>+AB27+AF27</f>
        <v>58</v>
      </c>
      <c r="AH27" s="96">
        <f>AF27*U27</f>
        <v>250000</v>
      </c>
      <c r="AI27" s="96">
        <f t="shared" ref="AI27" si="98">AD27+AH27</f>
        <v>1208333.3333333333</v>
      </c>
      <c r="AJ27" s="96">
        <f t="shared" si="24"/>
        <v>791666.66666666674</v>
      </c>
      <c r="AK27" s="73">
        <f>IF(AG27&gt;=U27-12,U27-AG27,12)</f>
        <v>12</v>
      </c>
      <c r="AL27" s="73">
        <f t="shared" ref="AL27" si="99">+AG27+AK27</f>
        <v>70</v>
      </c>
      <c r="AM27" s="96">
        <f>AK27*U27</f>
        <v>250000</v>
      </c>
      <c r="AN27" s="96">
        <f>AI27+AM27</f>
        <v>1458333.3333333333</v>
      </c>
      <c r="AO27" s="96">
        <f>N27-AN27</f>
        <v>541666.66666666674</v>
      </c>
      <c r="AP27" s="73">
        <f>IF(AL27&gt;=U27-12,U27-AL27,12)</f>
        <v>12</v>
      </c>
      <c r="AQ27" s="73">
        <f t="shared" ref="AQ27" si="100">+AL27+AP27</f>
        <v>82</v>
      </c>
      <c r="AR27" s="96">
        <f>AP27*U27</f>
        <v>250000</v>
      </c>
      <c r="AS27" s="96">
        <f>AN27+AR27</f>
        <v>1708333.3333333333</v>
      </c>
      <c r="AT27" s="96">
        <f>N27-AS27</f>
        <v>291666.66666666674</v>
      </c>
      <c r="AU27" s="286"/>
      <c r="AV27" s="202">
        <f t="shared" ref="AV27" si="101">SUM(AW27:BH27)</f>
        <v>250000.00000000003</v>
      </c>
      <c r="AW27" s="203">
        <f>+U27*1</f>
        <v>20833.333333333332</v>
      </c>
      <c r="AX27" s="203">
        <f>+U27*1</f>
        <v>20833.333333333332</v>
      </c>
      <c r="AY27" s="203">
        <f>+U27*1</f>
        <v>20833.333333333332</v>
      </c>
      <c r="AZ27" s="203">
        <f>+U27*1</f>
        <v>20833.333333333332</v>
      </c>
      <c r="BA27" s="203">
        <f>+U27*1</f>
        <v>20833.333333333332</v>
      </c>
      <c r="BB27" s="203">
        <f>+U27*1</f>
        <v>20833.333333333332</v>
      </c>
      <c r="BC27" s="203">
        <f>+U27*1</f>
        <v>20833.333333333332</v>
      </c>
      <c r="BD27" s="203">
        <f>+U27*1</f>
        <v>20833.333333333332</v>
      </c>
      <c r="BE27" s="203">
        <f>+U27*1</f>
        <v>20833.333333333332</v>
      </c>
      <c r="BF27" s="203">
        <f>+U27*1</f>
        <v>20833.333333333332</v>
      </c>
      <c r="BG27" s="203">
        <f>+U27*1</f>
        <v>20833.333333333332</v>
      </c>
      <c r="BH27" s="203">
        <f>+U27*1</f>
        <v>20833.333333333332</v>
      </c>
    </row>
    <row r="28" spans="2:60" s="11" customFormat="1" x14ac:dyDescent="0.2">
      <c r="B28" s="97"/>
      <c r="C28" s="98"/>
      <c r="D28" s="99"/>
      <c r="E28" s="100"/>
      <c r="F28" s="101"/>
      <c r="G28" s="102"/>
      <c r="H28" s="103"/>
      <c r="I28" s="103"/>
      <c r="J28" s="103"/>
      <c r="K28" s="103"/>
      <c r="L28" s="103"/>
      <c r="M28" s="103"/>
      <c r="N28" s="103"/>
      <c r="O28" s="104"/>
      <c r="P28" s="101"/>
      <c r="Q28" s="101"/>
      <c r="R28" s="105"/>
      <c r="S28" s="106"/>
      <c r="T28" s="107"/>
      <c r="U28" s="110"/>
      <c r="V28" s="109"/>
      <c r="W28" s="109"/>
      <c r="X28" s="222"/>
      <c r="Y28" s="222"/>
      <c r="Z28" s="222"/>
      <c r="AA28" s="109"/>
      <c r="AB28" s="109"/>
      <c r="AC28" s="222"/>
      <c r="AD28" s="222"/>
      <c r="AE28" s="222"/>
      <c r="AF28" s="109"/>
      <c r="AG28" s="109"/>
      <c r="AH28" s="222"/>
      <c r="AI28" s="222"/>
      <c r="AJ28" s="222"/>
      <c r="AK28" s="109"/>
      <c r="AL28" s="109"/>
      <c r="AM28" s="222"/>
      <c r="AN28" s="222"/>
      <c r="AO28" s="222"/>
      <c r="AP28" s="109"/>
      <c r="AQ28" s="109"/>
      <c r="AR28" s="222"/>
      <c r="AS28" s="222"/>
      <c r="AT28" s="222"/>
      <c r="AU28" s="285"/>
    </row>
    <row r="29" spans="2:60" s="11" customFormat="1" x14ac:dyDescent="0.2">
      <c r="B29" s="97"/>
      <c r="C29" s="98"/>
      <c r="D29" s="99"/>
      <c r="E29" s="100"/>
      <c r="F29" s="101"/>
      <c r="G29" s="102"/>
      <c r="H29" s="103"/>
      <c r="I29" s="103"/>
      <c r="J29" s="103"/>
      <c r="K29" s="103"/>
      <c r="L29" s="103"/>
      <c r="M29" s="103"/>
      <c r="N29" s="250">
        <f>SUM(N12:N28)</f>
        <v>63144882</v>
      </c>
      <c r="O29" s="104"/>
      <c r="P29" s="101"/>
      <c r="Q29" s="101"/>
      <c r="R29" s="105"/>
      <c r="S29" s="106"/>
      <c r="T29" s="107"/>
      <c r="U29" s="250">
        <f>SUM(U12:U28)</f>
        <v>657759.1875</v>
      </c>
      <c r="V29" s="109"/>
      <c r="W29" s="231"/>
      <c r="X29" s="207">
        <f>SUM(X12:X28)</f>
        <v>6109360.25</v>
      </c>
      <c r="Y29" s="205">
        <f t="shared" ref="Y29:Z29" si="102">SUM(Y12:Y28)</f>
        <v>40332771.854166664</v>
      </c>
      <c r="Z29" s="227">
        <f t="shared" si="102"/>
        <v>22812110.145833332</v>
      </c>
      <c r="AA29" s="109"/>
      <c r="AB29" s="231"/>
      <c r="AC29" s="207">
        <f>SUM(AC12:AC28)</f>
        <v>5987818.583333333</v>
      </c>
      <c r="AD29" s="205">
        <f t="shared" ref="AD29:AE29" si="103">SUM(AD12:AD28)</f>
        <v>46320590.4375</v>
      </c>
      <c r="AE29" s="227">
        <f t="shared" si="103"/>
        <v>16824291.5625</v>
      </c>
      <c r="AF29" s="109"/>
      <c r="AG29" s="231"/>
      <c r="AH29" s="207">
        <f>SUM(AH12:AH28)</f>
        <v>5809568.583333333</v>
      </c>
      <c r="AI29" s="205">
        <f t="shared" ref="AI29:AJ29" si="104">SUM(AI12:AI28)</f>
        <v>52130159.020833336</v>
      </c>
      <c r="AJ29" s="227">
        <f t="shared" si="104"/>
        <v>11014722.979166666</v>
      </c>
      <c r="AK29" s="109"/>
      <c r="AL29" s="231"/>
      <c r="AM29" s="207">
        <f>SUM(AM12:AM28)</f>
        <v>4440641.5</v>
      </c>
      <c r="AN29" s="205">
        <f t="shared" ref="AN29:AO29" si="105">SUM(AN12:AN28)</f>
        <v>56570800.520833336</v>
      </c>
      <c r="AO29" s="227">
        <f t="shared" si="105"/>
        <v>6574081.479166667</v>
      </c>
      <c r="AP29" s="109"/>
      <c r="AQ29" s="231"/>
      <c r="AR29" s="207">
        <f>SUM(AR12:AR28)</f>
        <v>3782272.75</v>
      </c>
      <c r="AS29" s="205">
        <f t="shared" ref="AS29:AT29" si="106">SUM(AS12:AS28)</f>
        <v>60353073.270833336</v>
      </c>
      <c r="AT29" s="227">
        <f t="shared" si="106"/>
        <v>2791808.729166667</v>
      </c>
      <c r="AU29" s="250"/>
      <c r="AV29" s="207">
        <f>SUM(AV12:AV28)</f>
        <v>3782272.7499999995</v>
      </c>
      <c r="AW29" s="205">
        <f t="shared" ref="AW29:BH29" si="107">SUM(AW12:AW28)</f>
        <v>348314.39583333331</v>
      </c>
      <c r="AX29" s="205">
        <f t="shared" si="107"/>
        <v>348314.39583333331</v>
      </c>
      <c r="AY29" s="205">
        <f t="shared" si="107"/>
        <v>348314.39583333331</v>
      </c>
      <c r="AZ29" s="205">
        <f t="shared" si="107"/>
        <v>348314.39583333331</v>
      </c>
      <c r="BA29" s="205">
        <f t="shared" si="107"/>
        <v>298626.89583333331</v>
      </c>
      <c r="BB29" s="205">
        <f t="shared" si="107"/>
        <v>298626.89583333331</v>
      </c>
      <c r="BC29" s="205">
        <f t="shared" si="107"/>
        <v>298626.89583333331</v>
      </c>
      <c r="BD29" s="205">
        <f t="shared" si="107"/>
        <v>298626.89583333331</v>
      </c>
      <c r="BE29" s="205">
        <f t="shared" si="107"/>
        <v>298626.89583333331</v>
      </c>
      <c r="BF29" s="205">
        <f t="shared" si="107"/>
        <v>298626.89583333331</v>
      </c>
      <c r="BG29" s="205">
        <f t="shared" si="107"/>
        <v>298626.89583333331</v>
      </c>
      <c r="BH29" s="205">
        <f t="shared" si="107"/>
        <v>298626.89583333331</v>
      </c>
    </row>
    <row r="30" spans="2:60" s="11" customFormat="1" x14ac:dyDescent="0.2">
      <c r="B30" s="97"/>
      <c r="C30" s="98"/>
      <c r="D30" s="99"/>
      <c r="E30" s="100"/>
      <c r="F30" s="101"/>
      <c r="G30" s="102"/>
      <c r="H30" s="103"/>
      <c r="I30" s="103"/>
      <c r="J30" s="103"/>
      <c r="K30" s="103"/>
      <c r="L30" s="103"/>
      <c r="M30" s="103"/>
      <c r="N30" s="103"/>
      <c r="O30" s="104"/>
      <c r="P30" s="101"/>
      <c r="Q30" s="101"/>
      <c r="R30" s="105"/>
      <c r="S30" s="106"/>
      <c r="T30" s="107"/>
      <c r="U30" s="110"/>
      <c r="V30" s="109"/>
      <c r="W30" s="109"/>
      <c r="X30" s="232"/>
      <c r="Y30" s="232"/>
      <c r="Z30" s="232"/>
      <c r="AA30" s="109"/>
      <c r="AB30" s="109"/>
      <c r="AC30" s="232"/>
      <c r="AD30" s="232"/>
      <c r="AE30" s="232"/>
      <c r="AF30" s="109"/>
      <c r="AG30" s="109"/>
      <c r="AH30" s="232"/>
      <c r="AI30" s="232"/>
      <c r="AJ30" s="232"/>
      <c r="AK30" s="109"/>
      <c r="AL30" s="109"/>
      <c r="AM30" s="232"/>
      <c r="AN30" s="232"/>
      <c r="AO30" s="232"/>
      <c r="AP30" s="109"/>
      <c r="AQ30" s="109"/>
      <c r="AR30" s="232"/>
      <c r="AS30" s="232"/>
      <c r="AT30" s="232"/>
      <c r="AU30" s="285"/>
    </row>
    <row r="31" spans="2:60" s="11" customFormat="1" x14ac:dyDescent="0.2">
      <c r="B31" s="97"/>
      <c r="C31" s="257">
        <v>44365</v>
      </c>
      <c r="D31" s="273" t="s">
        <v>334</v>
      </c>
      <c r="E31" s="274">
        <v>1</v>
      </c>
      <c r="F31" s="260" t="s">
        <v>335</v>
      </c>
      <c r="G31" s="261">
        <v>0.125</v>
      </c>
      <c r="H31" s="262"/>
      <c r="I31" s="262"/>
      <c r="J31" s="262"/>
      <c r="K31" s="262"/>
      <c r="L31" s="262"/>
      <c r="M31" s="262"/>
      <c r="N31" s="262">
        <v>5031000</v>
      </c>
      <c r="O31" s="263">
        <v>8</v>
      </c>
      <c r="P31" s="260">
        <v>96</v>
      </c>
      <c r="Q31" s="260">
        <v>6</v>
      </c>
      <c r="R31" s="264">
        <v>2021</v>
      </c>
      <c r="S31" s="265">
        <f t="shared" ref="S31:S40" si="108">IF(Q31=1, 12, Q31-1)</f>
        <v>5</v>
      </c>
      <c r="T31" s="266">
        <f t="shared" ref="T31:T40" si="109">IF(Q31=1,R31+O31-1,R31+O31)</f>
        <v>2029</v>
      </c>
      <c r="U31" s="96">
        <f t="shared" ref="U31:U40" si="110">N31/P31</f>
        <v>52406.25</v>
      </c>
      <c r="V31" s="73">
        <v>12</v>
      </c>
      <c r="W31" s="73">
        <v>19</v>
      </c>
      <c r="X31" s="96">
        <f t="shared" ref="X31:X42" si="111">V31*U31</f>
        <v>628875</v>
      </c>
      <c r="Y31" s="96">
        <v>995718.75</v>
      </c>
      <c r="Z31" s="96">
        <f t="shared" ref="Z31:Z42" si="112">N31-Y31</f>
        <v>4035281.25</v>
      </c>
      <c r="AA31" s="73">
        <f t="shared" ref="AA31:AA42" si="113">IF(W31&gt;=U31-12,U31-W31,12)</f>
        <v>12</v>
      </c>
      <c r="AB31" s="73">
        <f t="shared" ref="AB31:AB42" si="114">+W31+AA31</f>
        <v>31</v>
      </c>
      <c r="AC31" s="96">
        <f t="shared" ref="AC31:AC42" si="115">AA31*U31</f>
        <v>628875</v>
      </c>
      <c r="AD31" s="96">
        <f t="shared" ref="AD31:AD42" si="116">Y31+AC31</f>
        <v>1624593.75</v>
      </c>
      <c r="AE31" s="96">
        <f t="shared" ref="AE31:AE42" si="117">N31-AD31</f>
        <v>3406406.25</v>
      </c>
      <c r="AF31" s="73">
        <f t="shared" ref="AF31:AF42" si="118">IF(AB31&gt;=U31-12,U31-AB31,12)</f>
        <v>12</v>
      </c>
      <c r="AG31" s="73">
        <f t="shared" ref="AG31:AG42" si="119">+AB31+AF31</f>
        <v>43</v>
      </c>
      <c r="AH31" s="96">
        <f t="shared" ref="AH31:AH42" si="120">AF31*U31</f>
        <v>628875</v>
      </c>
      <c r="AI31" s="96">
        <f t="shared" ref="AI31:AI42" si="121">AD31+AH31</f>
        <v>2253468.75</v>
      </c>
      <c r="AJ31" s="96">
        <f t="shared" ref="AJ31:AJ42" si="122">N31-AI31</f>
        <v>2777531.25</v>
      </c>
      <c r="AK31" s="73">
        <f t="shared" ref="AK31:AK42" si="123">IF(AG31&gt;=U31-12,U31-AG31,12)</f>
        <v>12</v>
      </c>
      <c r="AL31" s="73">
        <f t="shared" ref="AL31:AL42" si="124">+AG31+AK31</f>
        <v>55</v>
      </c>
      <c r="AM31" s="96">
        <f t="shared" ref="AM31:AM42" si="125">AK31*U31</f>
        <v>628875</v>
      </c>
      <c r="AN31" s="96">
        <f t="shared" ref="AN31:AN42" si="126">AI31+AM31</f>
        <v>2882343.75</v>
      </c>
      <c r="AO31" s="96">
        <f t="shared" ref="AO31:AO42" si="127">N31-AN31</f>
        <v>2148656.25</v>
      </c>
      <c r="AP31" s="73">
        <f t="shared" ref="AP31:AP42" si="128">IF(AL31&gt;=U31-12,U31-AL31,12)</f>
        <v>12</v>
      </c>
      <c r="AQ31" s="73">
        <f t="shared" ref="AQ31:AQ42" si="129">+AL31+AP31</f>
        <v>67</v>
      </c>
      <c r="AR31" s="96">
        <f t="shared" ref="AR31:AR42" si="130">AP31*U31</f>
        <v>628875</v>
      </c>
      <c r="AS31" s="96">
        <f t="shared" ref="AS31:AS42" si="131">AN31+AR31</f>
        <v>3511218.75</v>
      </c>
      <c r="AT31" s="96">
        <f t="shared" ref="AT31:AT42" si="132">N31-AS31</f>
        <v>1519781.25</v>
      </c>
      <c r="AU31" s="286"/>
      <c r="AV31" s="202">
        <f t="shared" ref="AV31:AV40" si="133">SUM(AW31:BH31)</f>
        <v>628875</v>
      </c>
      <c r="AW31" s="203">
        <f t="shared" ref="AW31:AW42" si="134">+U31*1</f>
        <v>52406.25</v>
      </c>
      <c r="AX31" s="203">
        <f t="shared" ref="AX31:AX42" si="135">+U31*1</f>
        <v>52406.25</v>
      </c>
      <c r="AY31" s="203">
        <f t="shared" ref="AY31:AY42" si="136">+U31*1</f>
        <v>52406.25</v>
      </c>
      <c r="AZ31" s="203">
        <f t="shared" ref="AZ31:AZ42" si="137">+U31*1</f>
        <v>52406.25</v>
      </c>
      <c r="BA31" s="203">
        <f t="shared" ref="BA31:BA42" si="138">+U31*1</f>
        <v>52406.25</v>
      </c>
      <c r="BB31" s="203">
        <f t="shared" ref="BB31:BB42" si="139">+U31*1</f>
        <v>52406.25</v>
      </c>
      <c r="BC31" s="203">
        <f t="shared" ref="BC31:BC42" si="140">+U31*1</f>
        <v>52406.25</v>
      </c>
      <c r="BD31" s="203">
        <f t="shared" ref="BD31:BD42" si="141">+U31*1</f>
        <v>52406.25</v>
      </c>
      <c r="BE31" s="203">
        <f t="shared" ref="BE31:BE42" si="142">+U31*1</f>
        <v>52406.25</v>
      </c>
      <c r="BF31" s="203">
        <f t="shared" ref="BF31:BF42" si="143">+U31*1</f>
        <v>52406.25</v>
      </c>
      <c r="BG31" s="203">
        <f t="shared" ref="BG31:BG42" si="144">+U31*1</f>
        <v>52406.25</v>
      </c>
      <c r="BH31" s="203">
        <f t="shared" ref="BH31:BH42" si="145">+U31*1</f>
        <v>52406.25</v>
      </c>
    </row>
    <row r="32" spans="2:60" s="11" customFormat="1" x14ac:dyDescent="0.2">
      <c r="B32" s="97"/>
      <c r="C32" s="257">
        <v>44365</v>
      </c>
      <c r="D32" s="273" t="s">
        <v>334</v>
      </c>
      <c r="E32" s="274">
        <v>1</v>
      </c>
      <c r="F32" s="260" t="s">
        <v>336</v>
      </c>
      <c r="G32" s="261">
        <v>0.125</v>
      </c>
      <c r="H32" s="262"/>
      <c r="I32" s="262"/>
      <c r="J32" s="262"/>
      <c r="K32" s="262"/>
      <c r="L32" s="262"/>
      <c r="M32" s="262"/>
      <c r="N32" s="262">
        <v>2826000</v>
      </c>
      <c r="O32" s="263">
        <v>8</v>
      </c>
      <c r="P32" s="260">
        <v>96</v>
      </c>
      <c r="Q32" s="260">
        <v>6</v>
      </c>
      <c r="R32" s="264">
        <v>2021</v>
      </c>
      <c r="S32" s="265">
        <f t="shared" si="108"/>
        <v>5</v>
      </c>
      <c r="T32" s="266">
        <f t="shared" si="109"/>
        <v>2029</v>
      </c>
      <c r="U32" s="96">
        <f t="shared" si="110"/>
        <v>29437.5</v>
      </c>
      <c r="V32" s="73">
        <v>12</v>
      </c>
      <c r="W32" s="73">
        <v>19</v>
      </c>
      <c r="X32" s="96">
        <f t="shared" si="111"/>
        <v>353250</v>
      </c>
      <c r="Y32" s="96">
        <v>559312.5</v>
      </c>
      <c r="Z32" s="96">
        <f t="shared" si="112"/>
        <v>2266687.5</v>
      </c>
      <c r="AA32" s="73">
        <f t="shared" si="113"/>
        <v>12</v>
      </c>
      <c r="AB32" s="73">
        <f t="shared" si="114"/>
        <v>31</v>
      </c>
      <c r="AC32" s="96">
        <f t="shared" si="115"/>
        <v>353250</v>
      </c>
      <c r="AD32" s="96">
        <f t="shared" si="116"/>
        <v>912562.5</v>
      </c>
      <c r="AE32" s="96">
        <f t="shared" si="117"/>
        <v>1913437.5</v>
      </c>
      <c r="AF32" s="73">
        <f t="shared" si="118"/>
        <v>12</v>
      </c>
      <c r="AG32" s="73">
        <f t="shared" si="119"/>
        <v>43</v>
      </c>
      <c r="AH32" s="96">
        <f t="shared" si="120"/>
        <v>353250</v>
      </c>
      <c r="AI32" s="96">
        <f t="shared" si="121"/>
        <v>1265812.5</v>
      </c>
      <c r="AJ32" s="96">
        <f t="shared" si="122"/>
        <v>1560187.5</v>
      </c>
      <c r="AK32" s="73">
        <f t="shared" si="123"/>
        <v>12</v>
      </c>
      <c r="AL32" s="73">
        <f t="shared" si="124"/>
        <v>55</v>
      </c>
      <c r="AM32" s="96">
        <f t="shared" si="125"/>
        <v>353250</v>
      </c>
      <c r="AN32" s="96">
        <f t="shared" si="126"/>
        <v>1619062.5</v>
      </c>
      <c r="AO32" s="96">
        <f t="shared" si="127"/>
        <v>1206937.5</v>
      </c>
      <c r="AP32" s="73">
        <f t="shared" si="128"/>
        <v>12</v>
      </c>
      <c r="AQ32" s="73">
        <f t="shared" si="129"/>
        <v>67</v>
      </c>
      <c r="AR32" s="96">
        <f t="shared" si="130"/>
        <v>353250</v>
      </c>
      <c r="AS32" s="96">
        <f t="shared" si="131"/>
        <v>1972312.5</v>
      </c>
      <c r="AT32" s="96">
        <f t="shared" si="132"/>
        <v>853687.5</v>
      </c>
      <c r="AU32" s="286"/>
      <c r="AV32" s="202">
        <f t="shared" si="133"/>
        <v>353250</v>
      </c>
      <c r="AW32" s="203">
        <f t="shared" si="134"/>
        <v>29437.5</v>
      </c>
      <c r="AX32" s="203">
        <f t="shared" si="135"/>
        <v>29437.5</v>
      </c>
      <c r="AY32" s="203">
        <f t="shared" si="136"/>
        <v>29437.5</v>
      </c>
      <c r="AZ32" s="203">
        <f t="shared" si="137"/>
        <v>29437.5</v>
      </c>
      <c r="BA32" s="203">
        <f t="shared" si="138"/>
        <v>29437.5</v>
      </c>
      <c r="BB32" s="203">
        <f t="shared" si="139"/>
        <v>29437.5</v>
      </c>
      <c r="BC32" s="203">
        <f t="shared" si="140"/>
        <v>29437.5</v>
      </c>
      <c r="BD32" s="203">
        <f t="shared" si="141"/>
        <v>29437.5</v>
      </c>
      <c r="BE32" s="203">
        <f t="shared" si="142"/>
        <v>29437.5</v>
      </c>
      <c r="BF32" s="203">
        <f t="shared" si="143"/>
        <v>29437.5</v>
      </c>
      <c r="BG32" s="203">
        <f t="shared" si="144"/>
        <v>29437.5</v>
      </c>
      <c r="BH32" s="203">
        <f t="shared" si="145"/>
        <v>29437.5</v>
      </c>
    </row>
    <row r="33" spans="2:60" s="11" customFormat="1" x14ac:dyDescent="0.2">
      <c r="B33" s="97"/>
      <c r="C33" s="257">
        <v>44365</v>
      </c>
      <c r="D33" s="273" t="s">
        <v>334</v>
      </c>
      <c r="E33" s="274">
        <v>1</v>
      </c>
      <c r="F33" s="260" t="s">
        <v>337</v>
      </c>
      <c r="G33" s="261">
        <v>0.125</v>
      </c>
      <c r="H33" s="262"/>
      <c r="I33" s="262"/>
      <c r="J33" s="262"/>
      <c r="K33" s="262"/>
      <c r="L33" s="262"/>
      <c r="M33" s="262"/>
      <c r="N33" s="262">
        <v>5580000</v>
      </c>
      <c r="O33" s="263">
        <v>8</v>
      </c>
      <c r="P33" s="260">
        <v>96</v>
      </c>
      <c r="Q33" s="260">
        <v>6</v>
      </c>
      <c r="R33" s="264">
        <v>2021</v>
      </c>
      <c r="S33" s="265">
        <f t="shared" si="108"/>
        <v>5</v>
      </c>
      <c r="T33" s="266">
        <f t="shared" si="109"/>
        <v>2029</v>
      </c>
      <c r="U33" s="96">
        <f t="shared" si="110"/>
        <v>58125</v>
      </c>
      <c r="V33" s="73">
        <v>12</v>
      </c>
      <c r="W33" s="73">
        <v>19</v>
      </c>
      <c r="X33" s="96">
        <f t="shared" si="111"/>
        <v>697500</v>
      </c>
      <c r="Y33" s="96">
        <v>1104375</v>
      </c>
      <c r="Z33" s="96">
        <f t="shared" si="112"/>
        <v>4475625</v>
      </c>
      <c r="AA33" s="73">
        <f t="shared" si="113"/>
        <v>12</v>
      </c>
      <c r="AB33" s="73">
        <f t="shared" si="114"/>
        <v>31</v>
      </c>
      <c r="AC33" s="96">
        <f t="shared" si="115"/>
        <v>697500</v>
      </c>
      <c r="AD33" s="96">
        <f t="shared" si="116"/>
        <v>1801875</v>
      </c>
      <c r="AE33" s="96">
        <f t="shared" si="117"/>
        <v>3778125</v>
      </c>
      <c r="AF33" s="73">
        <f t="shared" si="118"/>
        <v>12</v>
      </c>
      <c r="AG33" s="73">
        <f t="shared" si="119"/>
        <v>43</v>
      </c>
      <c r="AH33" s="96">
        <f t="shared" si="120"/>
        <v>697500</v>
      </c>
      <c r="AI33" s="96">
        <f t="shared" si="121"/>
        <v>2499375</v>
      </c>
      <c r="AJ33" s="96">
        <f t="shared" si="122"/>
        <v>3080625</v>
      </c>
      <c r="AK33" s="73">
        <f t="shared" si="123"/>
        <v>12</v>
      </c>
      <c r="AL33" s="73">
        <f t="shared" si="124"/>
        <v>55</v>
      </c>
      <c r="AM33" s="96">
        <f t="shared" si="125"/>
        <v>697500</v>
      </c>
      <c r="AN33" s="96">
        <f t="shared" si="126"/>
        <v>3196875</v>
      </c>
      <c r="AO33" s="96">
        <f t="shared" si="127"/>
        <v>2383125</v>
      </c>
      <c r="AP33" s="73">
        <f t="shared" si="128"/>
        <v>12</v>
      </c>
      <c r="AQ33" s="73">
        <f t="shared" si="129"/>
        <v>67</v>
      </c>
      <c r="AR33" s="96">
        <f t="shared" si="130"/>
        <v>697500</v>
      </c>
      <c r="AS33" s="96">
        <f t="shared" si="131"/>
        <v>3894375</v>
      </c>
      <c r="AT33" s="96">
        <f t="shared" si="132"/>
        <v>1685625</v>
      </c>
      <c r="AU33" s="286"/>
      <c r="AV33" s="202">
        <f t="shared" si="133"/>
        <v>697500</v>
      </c>
      <c r="AW33" s="203">
        <f t="shared" si="134"/>
        <v>58125</v>
      </c>
      <c r="AX33" s="203">
        <f t="shared" si="135"/>
        <v>58125</v>
      </c>
      <c r="AY33" s="203">
        <f t="shared" si="136"/>
        <v>58125</v>
      </c>
      <c r="AZ33" s="203">
        <f t="shared" si="137"/>
        <v>58125</v>
      </c>
      <c r="BA33" s="203">
        <f t="shared" si="138"/>
        <v>58125</v>
      </c>
      <c r="BB33" s="203">
        <f t="shared" si="139"/>
        <v>58125</v>
      </c>
      <c r="BC33" s="203">
        <f t="shared" si="140"/>
        <v>58125</v>
      </c>
      <c r="BD33" s="203">
        <f t="shared" si="141"/>
        <v>58125</v>
      </c>
      <c r="BE33" s="203">
        <f t="shared" si="142"/>
        <v>58125</v>
      </c>
      <c r="BF33" s="203">
        <f t="shared" si="143"/>
        <v>58125</v>
      </c>
      <c r="BG33" s="203">
        <f t="shared" si="144"/>
        <v>58125</v>
      </c>
      <c r="BH33" s="203">
        <f t="shared" si="145"/>
        <v>58125</v>
      </c>
    </row>
    <row r="34" spans="2:60" s="11" customFormat="1" x14ac:dyDescent="0.2">
      <c r="B34" s="97"/>
      <c r="C34" s="257">
        <v>44365</v>
      </c>
      <c r="D34" s="273" t="s">
        <v>334</v>
      </c>
      <c r="E34" s="274">
        <v>1</v>
      </c>
      <c r="F34" s="260" t="s">
        <v>338</v>
      </c>
      <c r="G34" s="261">
        <v>0.125</v>
      </c>
      <c r="H34" s="262"/>
      <c r="I34" s="262"/>
      <c r="J34" s="262"/>
      <c r="K34" s="262"/>
      <c r="L34" s="262"/>
      <c r="M34" s="262"/>
      <c r="N34" s="262">
        <v>2295000</v>
      </c>
      <c r="O34" s="263">
        <v>8</v>
      </c>
      <c r="P34" s="260">
        <v>96</v>
      </c>
      <c r="Q34" s="260">
        <v>6</v>
      </c>
      <c r="R34" s="264">
        <v>2021</v>
      </c>
      <c r="S34" s="265">
        <f t="shared" si="108"/>
        <v>5</v>
      </c>
      <c r="T34" s="266">
        <f t="shared" si="109"/>
        <v>2029</v>
      </c>
      <c r="U34" s="96">
        <f t="shared" si="110"/>
        <v>23906.25</v>
      </c>
      <c r="V34" s="73">
        <v>12</v>
      </c>
      <c r="W34" s="73">
        <v>19</v>
      </c>
      <c r="X34" s="96">
        <f t="shared" si="111"/>
        <v>286875</v>
      </c>
      <c r="Y34" s="96">
        <v>454218.75</v>
      </c>
      <c r="Z34" s="96">
        <f t="shared" si="112"/>
        <v>1840781.25</v>
      </c>
      <c r="AA34" s="73">
        <f t="shared" si="113"/>
        <v>12</v>
      </c>
      <c r="AB34" s="73">
        <f t="shared" si="114"/>
        <v>31</v>
      </c>
      <c r="AC34" s="96">
        <f t="shared" si="115"/>
        <v>286875</v>
      </c>
      <c r="AD34" s="96">
        <f t="shared" si="116"/>
        <v>741093.75</v>
      </c>
      <c r="AE34" s="96">
        <f t="shared" si="117"/>
        <v>1553906.25</v>
      </c>
      <c r="AF34" s="73">
        <f t="shared" si="118"/>
        <v>12</v>
      </c>
      <c r="AG34" s="73">
        <f t="shared" si="119"/>
        <v>43</v>
      </c>
      <c r="AH34" s="96">
        <f t="shared" si="120"/>
        <v>286875</v>
      </c>
      <c r="AI34" s="96">
        <f t="shared" si="121"/>
        <v>1027968.75</v>
      </c>
      <c r="AJ34" s="96">
        <f t="shared" si="122"/>
        <v>1267031.25</v>
      </c>
      <c r="AK34" s="73">
        <f t="shared" si="123"/>
        <v>12</v>
      </c>
      <c r="AL34" s="73">
        <f t="shared" si="124"/>
        <v>55</v>
      </c>
      <c r="AM34" s="96">
        <f t="shared" si="125"/>
        <v>286875</v>
      </c>
      <c r="AN34" s="96">
        <f t="shared" si="126"/>
        <v>1314843.75</v>
      </c>
      <c r="AO34" s="96">
        <f t="shared" si="127"/>
        <v>980156.25</v>
      </c>
      <c r="AP34" s="73">
        <f t="shared" si="128"/>
        <v>12</v>
      </c>
      <c r="AQ34" s="73">
        <f t="shared" si="129"/>
        <v>67</v>
      </c>
      <c r="AR34" s="96">
        <f t="shared" si="130"/>
        <v>286875</v>
      </c>
      <c r="AS34" s="96">
        <f t="shared" si="131"/>
        <v>1601718.75</v>
      </c>
      <c r="AT34" s="96">
        <f t="shared" si="132"/>
        <v>693281.25</v>
      </c>
      <c r="AU34" s="286"/>
      <c r="AV34" s="202">
        <f t="shared" si="133"/>
        <v>286875</v>
      </c>
      <c r="AW34" s="203">
        <f t="shared" si="134"/>
        <v>23906.25</v>
      </c>
      <c r="AX34" s="203">
        <f t="shared" si="135"/>
        <v>23906.25</v>
      </c>
      <c r="AY34" s="203">
        <f t="shared" si="136"/>
        <v>23906.25</v>
      </c>
      <c r="AZ34" s="203">
        <f t="shared" si="137"/>
        <v>23906.25</v>
      </c>
      <c r="BA34" s="203">
        <f t="shared" si="138"/>
        <v>23906.25</v>
      </c>
      <c r="BB34" s="203">
        <f t="shared" si="139"/>
        <v>23906.25</v>
      </c>
      <c r="BC34" s="203">
        <f t="shared" si="140"/>
        <v>23906.25</v>
      </c>
      <c r="BD34" s="203">
        <f t="shared" si="141"/>
        <v>23906.25</v>
      </c>
      <c r="BE34" s="203">
        <f t="shared" si="142"/>
        <v>23906.25</v>
      </c>
      <c r="BF34" s="203">
        <f t="shared" si="143"/>
        <v>23906.25</v>
      </c>
      <c r="BG34" s="203">
        <f t="shared" si="144"/>
        <v>23906.25</v>
      </c>
      <c r="BH34" s="203">
        <f t="shared" si="145"/>
        <v>23906.25</v>
      </c>
    </row>
    <row r="35" spans="2:60" s="11" customFormat="1" x14ac:dyDescent="0.2">
      <c r="B35" s="97"/>
      <c r="C35" s="257">
        <v>44365</v>
      </c>
      <c r="D35" s="273" t="s">
        <v>334</v>
      </c>
      <c r="E35" s="274">
        <v>1</v>
      </c>
      <c r="F35" s="260" t="s">
        <v>339</v>
      </c>
      <c r="G35" s="261">
        <v>0.125</v>
      </c>
      <c r="H35" s="262"/>
      <c r="I35" s="262"/>
      <c r="J35" s="262"/>
      <c r="K35" s="262"/>
      <c r="L35" s="262"/>
      <c r="M35" s="262"/>
      <c r="N35" s="262">
        <v>6862500</v>
      </c>
      <c r="O35" s="263">
        <v>8</v>
      </c>
      <c r="P35" s="260">
        <v>96</v>
      </c>
      <c r="Q35" s="260">
        <v>6</v>
      </c>
      <c r="R35" s="264">
        <v>2021</v>
      </c>
      <c r="S35" s="265">
        <f t="shared" si="108"/>
        <v>5</v>
      </c>
      <c r="T35" s="266">
        <f t="shared" si="109"/>
        <v>2029</v>
      </c>
      <c r="U35" s="96">
        <f t="shared" si="110"/>
        <v>71484.375</v>
      </c>
      <c r="V35" s="73">
        <v>12</v>
      </c>
      <c r="W35" s="73">
        <v>19</v>
      </c>
      <c r="X35" s="96">
        <f t="shared" si="111"/>
        <v>857812.5</v>
      </c>
      <c r="Y35" s="96">
        <v>1358203.125</v>
      </c>
      <c r="Z35" s="96">
        <f t="shared" si="112"/>
        <v>5504296.875</v>
      </c>
      <c r="AA35" s="73">
        <f t="shared" si="113"/>
        <v>12</v>
      </c>
      <c r="AB35" s="73">
        <f t="shared" si="114"/>
        <v>31</v>
      </c>
      <c r="AC35" s="96">
        <f t="shared" si="115"/>
        <v>857812.5</v>
      </c>
      <c r="AD35" s="96">
        <f t="shared" si="116"/>
        <v>2216015.625</v>
      </c>
      <c r="AE35" s="96">
        <f t="shared" si="117"/>
        <v>4646484.375</v>
      </c>
      <c r="AF35" s="73">
        <f t="shared" si="118"/>
        <v>12</v>
      </c>
      <c r="AG35" s="73">
        <f t="shared" si="119"/>
        <v>43</v>
      </c>
      <c r="AH35" s="96">
        <f t="shared" si="120"/>
        <v>857812.5</v>
      </c>
      <c r="AI35" s="96">
        <f t="shared" si="121"/>
        <v>3073828.125</v>
      </c>
      <c r="AJ35" s="96">
        <f t="shared" si="122"/>
        <v>3788671.875</v>
      </c>
      <c r="AK35" s="73">
        <f t="shared" si="123"/>
        <v>12</v>
      </c>
      <c r="AL35" s="73">
        <f t="shared" si="124"/>
        <v>55</v>
      </c>
      <c r="AM35" s="96">
        <f t="shared" si="125"/>
        <v>857812.5</v>
      </c>
      <c r="AN35" s="96">
        <f t="shared" si="126"/>
        <v>3931640.625</v>
      </c>
      <c r="AO35" s="96">
        <f t="shared" si="127"/>
        <v>2930859.375</v>
      </c>
      <c r="AP35" s="73">
        <f t="shared" si="128"/>
        <v>12</v>
      </c>
      <c r="AQ35" s="73">
        <f t="shared" si="129"/>
        <v>67</v>
      </c>
      <c r="AR35" s="96">
        <f t="shared" si="130"/>
        <v>857812.5</v>
      </c>
      <c r="AS35" s="96">
        <f t="shared" si="131"/>
        <v>4789453.125</v>
      </c>
      <c r="AT35" s="96">
        <f t="shared" si="132"/>
        <v>2073046.875</v>
      </c>
      <c r="AU35" s="286"/>
      <c r="AV35" s="202">
        <f t="shared" si="133"/>
        <v>857812.5</v>
      </c>
      <c r="AW35" s="203">
        <f t="shared" si="134"/>
        <v>71484.375</v>
      </c>
      <c r="AX35" s="203">
        <f t="shared" si="135"/>
        <v>71484.375</v>
      </c>
      <c r="AY35" s="203">
        <f t="shared" si="136"/>
        <v>71484.375</v>
      </c>
      <c r="AZ35" s="203">
        <f t="shared" si="137"/>
        <v>71484.375</v>
      </c>
      <c r="BA35" s="203">
        <f t="shared" si="138"/>
        <v>71484.375</v>
      </c>
      <c r="BB35" s="203">
        <f t="shared" si="139"/>
        <v>71484.375</v>
      </c>
      <c r="BC35" s="203">
        <f t="shared" si="140"/>
        <v>71484.375</v>
      </c>
      <c r="BD35" s="203">
        <f t="shared" si="141"/>
        <v>71484.375</v>
      </c>
      <c r="BE35" s="203">
        <f t="shared" si="142"/>
        <v>71484.375</v>
      </c>
      <c r="BF35" s="203">
        <f t="shared" si="143"/>
        <v>71484.375</v>
      </c>
      <c r="BG35" s="203">
        <f t="shared" si="144"/>
        <v>71484.375</v>
      </c>
      <c r="BH35" s="203">
        <f t="shared" si="145"/>
        <v>71484.375</v>
      </c>
    </row>
    <row r="36" spans="2:60" s="11" customFormat="1" x14ac:dyDescent="0.2">
      <c r="B36" s="97"/>
      <c r="C36" s="257">
        <v>44365</v>
      </c>
      <c r="D36" s="273" t="s">
        <v>334</v>
      </c>
      <c r="E36" s="274">
        <v>1</v>
      </c>
      <c r="F36" s="260" t="s">
        <v>340</v>
      </c>
      <c r="G36" s="261">
        <v>0.125</v>
      </c>
      <c r="H36" s="262"/>
      <c r="I36" s="262"/>
      <c r="J36" s="262"/>
      <c r="K36" s="262"/>
      <c r="L36" s="262"/>
      <c r="M36" s="262"/>
      <c r="N36" s="262">
        <v>16425000</v>
      </c>
      <c r="O36" s="263">
        <v>8</v>
      </c>
      <c r="P36" s="260">
        <v>96</v>
      </c>
      <c r="Q36" s="260">
        <v>6</v>
      </c>
      <c r="R36" s="264">
        <v>2021</v>
      </c>
      <c r="S36" s="265">
        <f t="shared" si="108"/>
        <v>5</v>
      </c>
      <c r="T36" s="266">
        <f t="shared" si="109"/>
        <v>2029</v>
      </c>
      <c r="U36" s="96">
        <f t="shared" si="110"/>
        <v>171093.75</v>
      </c>
      <c r="V36" s="73">
        <v>12</v>
      </c>
      <c r="W36" s="73">
        <v>19</v>
      </c>
      <c r="X36" s="96">
        <f t="shared" si="111"/>
        <v>2053125</v>
      </c>
      <c r="Y36" s="96">
        <v>3250781.25</v>
      </c>
      <c r="Z36" s="96">
        <f t="shared" si="112"/>
        <v>13174218.75</v>
      </c>
      <c r="AA36" s="73">
        <f t="shared" si="113"/>
        <v>12</v>
      </c>
      <c r="AB36" s="73">
        <f t="shared" si="114"/>
        <v>31</v>
      </c>
      <c r="AC36" s="96">
        <f t="shared" si="115"/>
        <v>2053125</v>
      </c>
      <c r="AD36" s="96">
        <f t="shared" si="116"/>
        <v>5303906.25</v>
      </c>
      <c r="AE36" s="96">
        <f t="shared" si="117"/>
        <v>11121093.75</v>
      </c>
      <c r="AF36" s="73">
        <f t="shared" si="118"/>
        <v>12</v>
      </c>
      <c r="AG36" s="73">
        <f t="shared" si="119"/>
        <v>43</v>
      </c>
      <c r="AH36" s="96">
        <f t="shared" si="120"/>
        <v>2053125</v>
      </c>
      <c r="AI36" s="96">
        <f t="shared" si="121"/>
        <v>7357031.25</v>
      </c>
      <c r="AJ36" s="96">
        <f t="shared" si="122"/>
        <v>9067968.75</v>
      </c>
      <c r="AK36" s="73">
        <f t="shared" si="123"/>
        <v>12</v>
      </c>
      <c r="AL36" s="73">
        <f t="shared" si="124"/>
        <v>55</v>
      </c>
      <c r="AM36" s="96">
        <f t="shared" si="125"/>
        <v>2053125</v>
      </c>
      <c r="AN36" s="96">
        <f t="shared" si="126"/>
        <v>9410156.25</v>
      </c>
      <c r="AO36" s="96">
        <f t="shared" si="127"/>
        <v>7014843.75</v>
      </c>
      <c r="AP36" s="73">
        <f t="shared" si="128"/>
        <v>12</v>
      </c>
      <c r="AQ36" s="73">
        <f t="shared" si="129"/>
        <v>67</v>
      </c>
      <c r="AR36" s="96">
        <f t="shared" si="130"/>
        <v>2053125</v>
      </c>
      <c r="AS36" s="96">
        <f t="shared" si="131"/>
        <v>11463281.25</v>
      </c>
      <c r="AT36" s="96">
        <f t="shared" si="132"/>
        <v>4961718.75</v>
      </c>
      <c r="AU36" s="286"/>
      <c r="AV36" s="202">
        <f t="shared" si="133"/>
        <v>2053125</v>
      </c>
      <c r="AW36" s="203">
        <f t="shared" si="134"/>
        <v>171093.75</v>
      </c>
      <c r="AX36" s="203">
        <f t="shared" si="135"/>
        <v>171093.75</v>
      </c>
      <c r="AY36" s="203">
        <f t="shared" si="136"/>
        <v>171093.75</v>
      </c>
      <c r="AZ36" s="203">
        <f t="shared" si="137"/>
        <v>171093.75</v>
      </c>
      <c r="BA36" s="203">
        <f t="shared" si="138"/>
        <v>171093.75</v>
      </c>
      <c r="BB36" s="203">
        <f t="shared" si="139"/>
        <v>171093.75</v>
      </c>
      <c r="BC36" s="203">
        <f t="shared" si="140"/>
        <v>171093.75</v>
      </c>
      <c r="BD36" s="203">
        <f t="shared" si="141"/>
        <v>171093.75</v>
      </c>
      <c r="BE36" s="203">
        <f t="shared" si="142"/>
        <v>171093.75</v>
      </c>
      <c r="BF36" s="203">
        <f t="shared" si="143"/>
        <v>171093.75</v>
      </c>
      <c r="BG36" s="203">
        <f t="shared" si="144"/>
        <v>171093.75</v>
      </c>
      <c r="BH36" s="203">
        <f t="shared" si="145"/>
        <v>171093.75</v>
      </c>
    </row>
    <row r="37" spans="2:60" s="11" customFormat="1" x14ac:dyDescent="0.2">
      <c r="B37" s="97"/>
      <c r="C37" s="257">
        <v>44365</v>
      </c>
      <c r="D37" s="273" t="s">
        <v>334</v>
      </c>
      <c r="E37" s="274">
        <v>1</v>
      </c>
      <c r="F37" s="260" t="s">
        <v>341</v>
      </c>
      <c r="G37" s="261">
        <v>0.125</v>
      </c>
      <c r="H37" s="262"/>
      <c r="I37" s="262"/>
      <c r="J37" s="262"/>
      <c r="K37" s="262"/>
      <c r="L37" s="262"/>
      <c r="M37" s="262"/>
      <c r="N37" s="262">
        <v>4428000</v>
      </c>
      <c r="O37" s="263">
        <v>8</v>
      </c>
      <c r="P37" s="260">
        <v>96</v>
      </c>
      <c r="Q37" s="260">
        <v>6</v>
      </c>
      <c r="R37" s="264">
        <v>2021</v>
      </c>
      <c r="S37" s="265">
        <f t="shared" si="108"/>
        <v>5</v>
      </c>
      <c r="T37" s="266">
        <f t="shared" si="109"/>
        <v>2029</v>
      </c>
      <c r="U37" s="96">
        <f t="shared" si="110"/>
        <v>46125</v>
      </c>
      <c r="V37" s="73">
        <v>12</v>
      </c>
      <c r="W37" s="73">
        <v>19</v>
      </c>
      <c r="X37" s="96">
        <f t="shared" si="111"/>
        <v>553500</v>
      </c>
      <c r="Y37" s="96">
        <v>876375</v>
      </c>
      <c r="Z37" s="96">
        <f t="shared" si="112"/>
        <v>3551625</v>
      </c>
      <c r="AA37" s="73">
        <f t="shared" si="113"/>
        <v>12</v>
      </c>
      <c r="AB37" s="73">
        <f t="shared" si="114"/>
        <v>31</v>
      </c>
      <c r="AC37" s="96">
        <f t="shared" si="115"/>
        <v>553500</v>
      </c>
      <c r="AD37" s="96">
        <f t="shared" si="116"/>
        <v>1429875</v>
      </c>
      <c r="AE37" s="96">
        <f t="shared" si="117"/>
        <v>2998125</v>
      </c>
      <c r="AF37" s="73">
        <f t="shared" si="118"/>
        <v>12</v>
      </c>
      <c r="AG37" s="73">
        <f t="shared" si="119"/>
        <v>43</v>
      </c>
      <c r="AH37" s="96">
        <f t="shared" si="120"/>
        <v>553500</v>
      </c>
      <c r="AI37" s="96">
        <f t="shared" si="121"/>
        <v>1983375</v>
      </c>
      <c r="AJ37" s="96">
        <f t="shared" si="122"/>
        <v>2444625</v>
      </c>
      <c r="AK37" s="73">
        <f t="shared" si="123"/>
        <v>12</v>
      </c>
      <c r="AL37" s="73">
        <f t="shared" si="124"/>
        <v>55</v>
      </c>
      <c r="AM37" s="96">
        <f t="shared" si="125"/>
        <v>553500</v>
      </c>
      <c r="AN37" s="96">
        <f t="shared" si="126"/>
        <v>2536875</v>
      </c>
      <c r="AO37" s="96">
        <f t="shared" si="127"/>
        <v>1891125</v>
      </c>
      <c r="AP37" s="73">
        <f t="shared" si="128"/>
        <v>12</v>
      </c>
      <c r="AQ37" s="73">
        <f t="shared" si="129"/>
        <v>67</v>
      </c>
      <c r="AR37" s="96">
        <f t="shared" si="130"/>
        <v>553500</v>
      </c>
      <c r="AS37" s="96">
        <f t="shared" si="131"/>
        <v>3090375</v>
      </c>
      <c r="AT37" s="96">
        <f t="shared" si="132"/>
        <v>1337625</v>
      </c>
      <c r="AU37" s="286"/>
      <c r="AV37" s="202">
        <f t="shared" si="133"/>
        <v>553500</v>
      </c>
      <c r="AW37" s="203">
        <f t="shared" si="134"/>
        <v>46125</v>
      </c>
      <c r="AX37" s="203">
        <f t="shared" si="135"/>
        <v>46125</v>
      </c>
      <c r="AY37" s="203">
        <f t="shared" si="136"/>
        <v>46125</v>
      </c>
      <c r="AZ37" s="203">
        <f t="shared" si="137"/>
        <v>46125</v>
      </c>
      <c r="BA37" s="203">
        <f t="shared" si="138"/>
        <v>46125</v>
      </c>
      <c r="BB37" s="203">
        <f t="shared" si="139"/>
        <v>46125</v>
      </c>
      <c r="BC37" s="203">
        <f t="shared" si="140"/>
        <v>46125</v>
      </c>
      <c r="BD37" s="203">
        <f t="shared" si="141"/>
        <v>46125</v>
      </c>
      <c r="BE37" s="203">
        <f t="shared" si="142"/>
        <v>46125</v>
      </c>
      <c r="BF37" s="203">
        <f t="shared" si="143"/>
        <v>46125</v>
      </c>
      <c r="BG37" s="203">
        <f t="shared" si="144"/>
        <v>46125</v>
      </c>
      <c r="BH37" s="203">
        <f t="shared" si="145"/>
        <v>46125</v>
      </c>
    </row>
    <row r="38" spans="2:60" s="11" customFormat="1" x14ac:dyDescent="0.2">
      <c r="B38" s="97"/>
      <c r="C38" s="257">
        <v>44365</v>
      </c>
      <c r="D38" s="273" t="s">
        <v>334</v>
      </c>
      <c r="E38" s="274">
        <v>1</v>
      </c>
      <c r="F38" s="260" t="s">
        <v>342</v>
      </c>
      <c r="G38" s="261">
        <v>0.125</v>
      </c>
      <c r="H38" s="262"/>
      <c r="I38" s="262"/>
      <c r="J38" s="262"/>
      <c r="K38" s="262"/>
      <c r="L38" s="262"/>
      <c r="M38" s="262"/>
      <c r="N38" s="262">
        <v>7476900</v>
      </c>
      <c r="O38" s="263">
        <v>8</v>
      </c>
      <c r="P38" s="260">
        <v>96</v>
      </c>
      <c r="Q38" s="260">
        <v>6</v>
      </c>
      <c r="R38" s="264">
        <v>2021</v>
      </c>
      <c r="S38" s="265">
        <f t="shared" si="108"/>
        <v>5</v>
      </c>
      <c r="T38" s="266">
        <f t="shared" si="109"/>
        <v>2029</v>
      </c>
      <c r="U38" s="96">
        <f t="shared" si="110"/>
        <v>77884.375</v>
      </c>
      <c r="V38" s="73">
        <v>12</v>
      </c>
      <c r="W38" s="73">
        <v>19</v>
      </c>
      <c r="X38" s="96">
        <f t="shared" si="111"/>
        <v>934612.5</v>
      </c>
      <c r="Y38" s="96">
        <v>1479803.125</v>
      </c>
      <c r="Z38" s="96">
        <f t="shared" si="112"/>
        <v>5997096.875</v>
      </c>
      <c r="AA38" s="73">
        <f t="shared" si="113"/>
        <v>12</v>
      </c>
      <c r="AB38" s="73">
        <f t="shared" si="114"/>
        <v>31</v>
      </c>
      <c r="AC38" s="96">
        <f t="shared" si="115"/>
        <v>934612.5</v>
      </c>
      <c r="AD38" s="96">
        <f t="shared" si="116"/>
        <v>2414415.625</v>
      </c>
      <c r="AE38" s="96">
        <f t="shared" si="117"/>
        <v>5062484.375</v>
      </c>
      <c r="AF38" s="73">
        <f t="shared" si="118"/>
        <v>12</v>
      </c>
      <c r="AG38" s="73">
        <f t="shared" si="119"/>
        <v>43</v>
      </c>
      <c r="AH38" s="96">
        <f t="shared" si="120"/>
        <v>934612.5</v>
      </c>
      <c r="AI38" s="96">
        <f t="shared" si="121"/>
        <v>3349028.125</v>
      </c>
      <c r="AJ38" s="96">
        <f t="shared" si="122"/>
        <v>4127871.875</v>
      </c>
      <c r="AK38" s="73">
        <f t="shared" si="123"/>
        <v>12</v>
      </c>
      <c r="AL38" s="73">
        <f t="shared" si="124"/>
        <v>55</v>
      </c>
      <c r="AM38" s="96">
        <f t="shared" si="125"/>
        <v>934612.5</v>
      </c>
      <c r="AN38" s="96">
        <f t="shared" si="126"/>
        <v>4283640.625</v>
      </c>
      <c r="AO38" s="96">
        <f t="shared" si="127"/>
        <v>3193259.375</v>
      </c>
      <c r="AP38" s="73">
        <f t="shared" si="128"/>
        <v>12</v>
      </c>
      <c r="AQ38" s="73">
        <f t="shared" si="129"/>
        <v>67</v>
      </c>
      <c r="AR38" s="96">
        <f t="shared" si="130"/>
        <v>934612.5</v>
      </c>
      <c r="AS38" s="96">
        <f t="shared" si="131"/>
        <v>5218253.125</v>
      </c>
      <c r="AT38" s="96">
        <f t="shared" si="132"/>
        <v>2258646.875</v>
      </c>
      <c r="AU38" s="286"/>
      <c r="AV38" s="202">
        <f t="shared" si="133"/>
        <v>934612.5</v>
      </c>
      <c r="AW38" s="203">
        <f t="shared" si="134"/>
        <v>77884.375</v>
      </c>
      <c r="AX38" s="203">
        <f t="shared" si="135"/>
        <v>77884.375</v>
      </c>
      <c r="AY38" s="203">
        <f t="shared" si="136"/>
        <v>77884.375</v>
      </c>
      <c r="AZ38" s="203">
        <f t="shared" si="137"/>
        <v>77884.375</v>
      </c>
      <c r="BA38" s="203">
        <f t="shared" si="138"/>
        <v>77884.375</v>
      </c>
      <c r="BB38" s="203">
        <f t="shared" si="139"/>
        <v>77884.375</v>
      </c>
      <c r="BC38" s="203">
        <f t="shared" si="140"/>
        <v>77884.375</v>
      </c>
      <c r="BD38" s="203">
        <f t="shared" si="141"/>
        <v>77884.375</v>
      </c>
      <c r="BE38" s="203">
        <f t="shared" si="142"/>
        <v>77884.375</v>
      </c>
      <c r="BF38" s="203">
        <f t="shared" si="143"/>
        <v>77884.375</v>
      </c>
      <c r="BG38" s="203">
        <f t="shared" si="144"/>
        <v>77884.375</v>
      </c>
      <c r="BH38" s="203">
        <f t="shared" si="145"/>
        <v>77884.375</v>
      </c>
    </row>
    <row r="39" spans="2:60" s="11" customFormat="1" x14ac:dyDescent="0.2">
      <c r="B39" s="97"/>
      <c r="C39" s="257">
        <v>44380</v>
      </c>
      <c r="D39" s="273" t="s">
        <v>343</v>
      </c>
      <c r="E39" s="274">
        <v>1</v>
      </c>
      <c r="F39" s="260" t="s">
        <v>345</v>
      </c>
      <c r="G39" s="261">
        <v>0.125</v>
      </c>
      <c r="H39" s="262"/>
      <c r="I39" s="262"/>
      <c r="J39" s="262"/>
      <c r="K39" s="262"/>
      <c r="L39" s="262"/>
      <c r="M39" s="262"/>
      <c r="N39" s="262">
        <v>950000</v>
      </c>
      <c r="O39" s="263">
        <v>8</v>
      </c>
      <c r="P39" s="260">
        <v>96</v>
      </c>
      <c r="Q39" s="260">
        <v>7</v>
      </c>
      <c r="R39" s="264">
        <v>2021</v>
      </c>
      <c r="S39" s="265">
        <f t="shared" si="108"/>
        <v>6</v>
      </c>
      <c r="T39" s="266">
        <f t="shared" si="109"/>
        <v>2029</v>
      </c>
      <c r="U39" s="96">
        <f t="shared" si="110"/>
        <v>9895.8333333333339</v>
      </c>
      <c r="V39" s="73">
        <v>12</v>
      </c>
      <c r="W39" s="73">
        <v>18</v>
      </c>
      <c r="X39" s="96">
        <f t="shared" si="111"/>
        <v>118750</v>
      </c>
      <c r="Y39" s="96">
        <v>178125</v>
      </c>
      <c r="Z39" s="96">
        <f t="shared" si="112"/>
        <v>771875</v>
      </c>
      <c r="AA39" s="73">
        <f t="shared" si="113"/>
        <v>12</v>
      </c>
      <c r="AB39" s="73">
        <f t="shared" si="114"/>
        <v>30</v>
      </c>
      <c r="AC39" s="96">
        <f t="shared" si="115"/>
        <v>118750</v>
      </c>
      <c r="AD39" s="96">
        <f t="shared" si="116"/>
        <v>296875</v>
      </c>
      <c r="AE39" s="96">
        <f t="shared" si="117"/>
        <v>653125</v>
      </c>
      <c r="AF39" s="73">
        <f t="shared" si="118"/>
        <v>12</v>
      </c>
      <c r="AG39" s="73">
        <f t="shared" si="119"/>
        <v>42</v>
      </c>
      <c r="AH39" s="96">
        <f t="shared" si="120"/>
        <v>118750</v>
      </c>
      <c r="AI39" s="96">
        <f t="shared" si="121"/>
        <v>415625</v>
      </c>
      <c r="AJ39" s="96">
        <f t="shared" si="122"/>
        <v>534375</v>
      </c>
      <c r="AK39" s="73">
        <f t="shared" si="123"/>
        <v>12</v>
      </c>
      <c r="AL39" s="73">
        <f t="shared" si="124"/>
        <v>54</v>
      </c>
      <c r="AM39" s="96">
        <f t="shared" si="125"/>
        <v>118750</v>
      </c>
      <c r="AN39" s="96">
        <f t="shared" si="126"/>
        <v>534375</v>
      </c>
      <c r="AO39" s="96">
        <f t="shared" si="127"/>
        <v>415625</v>
      </c>
      <c r="AP39" s="73">
        <f t="shared" si="128"/>
        <v>12</v>
      </c>
      <c r="AQ39" s="73">
        <f t="shared" si="129"/>
        <v>66</v>
      </c>
      <c r="AR39" s="96">
        <f t="shared" si="130"/>
        <v>118750</v>
      </c>
      <c r="AS39" s="96">
        <f t="shared" si="131"/>
        <v>653125</v>
      </c>
      <c r="AT39" s="96">
        <f t="shared" si="132"/>
        <v>296875</v>
      </c>
      <c r="AU39" s="286"/>
      <c r="AV39" s="202">
        <f t="shared" si="133"/>
        <v>118749.99999999999</v>
      </c>
      <c r="AW39" s="203">
        <f t="shared" si="134"/>
        <v>9895.8333333333339</v>
      </c>
      <c r="AX39" s="203">
        <f t="shared" si="135"/>
        <v>9895.8333333333339</v>
      </c>
      <c r="AY39" s="203">
        <f t="shared" si="136"/>
        <v>9895.8333333333339</v>
      </c>
      <c r="AZ39" s="203">
        <f t="shared" si="137"/>
        <v>9895.8333333333339</v>
      </c>
      <c r="BA39" s="203">
        <f t="shared" si="138"/>
        <v>9895.8333333333339</v>
      </c>
      <c r="BB39" s="203">
        <f t="shared" si="139"/>
        <v>9895.8333333333339</v>
      </c>
      <c r="BC39" s="203">
        <f t="shared" si="140"/>
        <v>9895.8333333333339</v>
      </c>
      <c r="BD39" s="203">
        <f t="shared" si="141"/>
        <v>9895.8333333333339</v>
      </c>
      <c r="BE39" s="203">
        <f t="shared" si="142"/>
        <v>9895.8333333333339</v>
      </c>
      <c r="BF39" s="203">
        <f t="shared" si="143"/>
        <v>9895.8333333333339</v>
      </c>
      <c r="BG39" s="203">
        <f t="shared" si="144"/>
        <v>9895.8333333333339</v>
      </c>
      <c r="BH39" s="203">
        <f t="shared" si="145"/>
        <v>9895.8333333333339</v>
      </c>
    </row>
    <row r="40" spans="2:60" s="11" customFormat="1" x14ac:dyDescent="0.2">
      <c r="B40" s="97"/>
      <c r="C40" s="257">
        <v>44390</v>
      </c>
      <c r="D40" s="273" t="s">
        <v>344</v>
      </c>
      <c r="E40" s="274">
        <v>1</v>
      </c>
      <c r="F40" s="260" t="s">
        <v>346</v>
      </c>
      <c r="G40" s="261">
        <v>0.125</v>
      </c>
      <c r="H40" s="262"/>
      <c r="I40" s="262"/>
      <c r="J40" s="262"/>
      <c r="K40" s="262"/>
      <c r="L40" s="262"/>
      <c r="M40" s="262"/>
      <c r="N40" s="262">
        <v>4600000</v>
      </c>
      <c r="O40" s="263">
        <v>8</v>
      </c>
      <c r="P40" s="260">
        <v>96</v>
      </c>
      <c r="Q40" s="260">
        <v>7</v>
      </c>
      <c r="R40" s="264">
        <v>2021</v>
      </c>
      <c r="S40" s="265">
        <f t="shared" si="108"/>
        <v>6</v>
      </c>
      <c r="T40" s="266">
        <f t="shared" si="109"/>
        <v>2029</v>
      </c>
      <c r="U40" s="96">
        <f t="shared" si="110"/>
        <v>47916.666666666664</v>
      </c>
      <c r="V40" s="73">
        <v>12</v>
      </c>
      <c r="W40" s="73">
        <v>18</v>
      </c>
      <c r="X40" s="96">
        <f t="shared" si="111"/>
        <v>575000</v>
      </c>
      <c r="Y40" s="96">
        <v>862500</v>
      </c>
      <c r="Z40" s="96">
        <f t="shared" si="112"/>
        <v>3737500</v>
      </c>
      <c r="AA40" s="73">
        <f t="shared" si="113"/>
        <v>12</v>
      </c>
      <c r="AB40" s="73">
        <f t="shared" si="114"/>
        <v>30</v>
      </c>
      <c r="AC40" s="96">
        <f t="shared" si="115"/>
        <v>575000</v>
      </c>
      <c r="AD40" s="96">
        <f t="shared" si="116"/>
        <v>1437500</v>
      </c>
      <c r="AE40" s="96">
        <f t="shared" si="117"/>
        <v>3162500</v>
      </c>
      <c r="AF40" s="73">
        <f t="shared" si="118"/>
        <v>12</v>
      </c>
      <c r="AG40" s="73">
        <f t="shared" si="119"/>
        <v>42</v>
      </c>
      <c r="AH40" s="96">
        <f t="shared" si="120"/>
        <v>575000</v>
      </c>
      <c r="AI40" s="96">
        <f t="shared" si="121"/>
        <v>2012500</v>
      </c>
      <c r="AJ40" s="96">
        <f t="shared" si="122"/>
        <v>2587500</v>
      </c>
      <c r="AK40" s="73">
        <f t="shared" si="123"/>
        <v>12</v>
      </c>
      <c r="AL40" s="73">
        <f t="shared" si="124"/>
        <v>54</v>
      </c>
      <c r="AM40" s="96">
        <f t="shared" si="125"/>
        <v>575000</v>
      </c>
      <c r="AN40" s="96">
        <f t="shared" si="126"/>
        <v>2587500</v>
      </c>
      <c r="AO40" s="96">
        <f t="shared" si="127"/>
        <v>2012500</v>
      </c>
      <c r="AP40" s="73">
        <f t="shared" si="128"/>
        <v>12</v>
      </c>
      <c r="AQ40" s="73">
        <f t="shared" si="129"/>
        <v>66</v>
      </c>
      <c r="AR40" s="96">
        <f t="shared" si="130"/>
        <v>575000</v>
      </c>
      <c r="AS40" s="96">
        <f t="shared" si="131"/>
        <v>3162500</v>
      </c>
      <c r="AT40" s="96">
        <f t="shared" si="132"/>
        <v>1437500</v>
      </c>
      <c r="AU40" s="286"/>
      <c r="AV40" s="202">
        <f t="shared" si="133"/>
        <v>575000</v>
      </c>
      <c r="AW40" s="203">
        <f t="shared" si="134"/>
        <v>47916.666666666664</v>
      </c>
      <c r="AX40" s="203">
        <f t="shared" si="135"/>
        <v>47916.666666666664</v>
      </c>
      <c r="AY40" s="203">
        <f t="shared" si="136"/>
        <v>47916.666666666664</v>
      </c>
      <c r="AZ40" s="203">
        <f t="shared" si="137"/>
        <v>47916.666666666664</v>
      </c>
      <c r="BA40" s="203">
        <f t="shared" si="138"/>
        <v>47916.666666666664</v>
      </c>
      <c r="BB40" s="203">
        <f t="shared" si="139"/>
        <v>47916.666666666664</v>
      </c>
      <c r="BC40" s="203">
        <f t="shared" si="140"/>
        <v>47916.666666666664</v>
      </c>
      <c r="BD40" s="203">
        <f t="shared" si="141"/>
        <v>47916.666666666664</v>
      </c>
      <c r="BE40" s="203">
        <f t="shared" si="142"/>
        <v>47916.666666666664</v>
      </c>
      <c r="BF40" s="203">
        <f t="shared" si="143"/>
        <v>47916.666666666664</v>
      </c>
      <c r="BG40" s="203">
        <f t="shared" si="144"/>
        <v>47916.666666666664</v>
      </c>
      <c r="BH40" s="203">
        <f t="shared" si="145"/>
        <v>47916.666666666664</v>
      </c>
    </row>
    <row r="41" spans="2:60" s="11" customFormat="1" x14ac:dyDescent="0.2">
      <c r="B41" s="97"/>
      <c r="C41" s="257">
        <v>44496</v>
      </c>
      <c r="D41" s="273" t="s">
        <v>359</v>
      </c>
      <c r="E41" s="274">
        <v>1</v>
      </c>
      <c r="F41" s="260" t="s">
        <v>361</v>
      </c>
      <c r="G41" s="261">
        <v>0.125</v>
      </c>
      <c r="H41" s="262"/>
      <c r="I41" s="262"/>
      <c r="J41" s="262"/>
      <c r="K41" s="262"/>
      <c r="L41" s="262"/>
      <c r="M41" s="262"/>
      <c r="N41" s="262">
        <v>3030000</v>
      </c>
      <c r="O41" s="263">
        <v>8</v>
      </c>
      <c r="P41" s="260">
        <v>96</v>
      </c>
      <c r="Q41" s="260">
        <v>10</v>
      </c>
      <c r="R41" s="264">
        <v>2021</v>
      </c>
      <c r="S41" s="265">
        <f t="shared" ref="S41:S42" si="146">IF(Q41=1, 12, Q41-1)</f>
        <v>9</v>
      </c>
      <c r="T41" s="266">
        <f t="shared" ref="T41:T42" si="147">IF(Q41=1,R41+O41-1,R41+O41)</f>
        <v>2029</v>
      </c>
      <c r="U41" s="96">
        <f t="shared" ref="U41:U42" si="148">N41/P41</f>
        <v>31562.5</v>
      </c>
      <c r="V41" s="73">
        <v>12</v>
      </c>
      <c r="W41" s="73">
        <v>15</v>
      </c>
      <c r="X41" s="96">
        <f t="shared" si="111"/>
        <v>378750</v>
      </c>
      <c r="Y41" s="96">
        <v>473437.5</v>
      </c>
      <c r="Z41" s="96">
        <f t="shared" si="112"/>
        <v>2556562.5</v>
      </c>
      <c r="AA41" s="73">
        <f t="shared" si="113"/>
        <v>12</v>
      </c>
      <c r="AB41" s="73">
        <f t="shared" si="114"/>
        <v>27</v>
      </c>
      <c r="AC41" s="96">
        <f t="shared" si="115"/>
        <v>378750</v>
      </c>
      <c r="AD41" s="96">
        <f t="shared" si="116"/>
        <v>852187.5</v>
      </c>
      <c r="AE41" s="96">
        <f t="shared" si="117"/>
        <v>2177812.5</v>
      </c>
      <c r="AF41" s="73">
        <f t="shared" si="118"/>
        <v>12</v>
      </c>
      <c r="AG41" s="73">
        <f t="shared" si="119"/>
        <v>39</v>
      </c>
      <c r="AH41" s="96">
        <f t="shared" si="120"/>
        <v>378750</v>
      </c>
      <c r="AI41" s="96">
        <f t="shared" si="121"/>
        <v>1230937.5</v>
      </c>
      <c r="AJ41" s="96">
        <f t="shared" si="122"/>
        <v>1799062.5</v>
      </c>
      <c r="AK41" s="73">
        <f t="shared" si="123"/>
        <v>12</v>
      </c>
      <c r="AL41" s="73">
        <f t="shared" si="124"/>
        <v>51</v>
      </c>
      <c r="AM41" s="96">
        <f t="shared" si="125"/>
        <v>378750</v>
      </c>
      <c r="AN41" s="96">
        <f t="shared" si="126"/>
        <v>1609687.5</v>
      </c>
      <c r="AO41" s="96">
        <f t="shared" si="127"/>
        <v>1420312.5</v>
      </c>
      <c r="AP41" s="73">
        <f t="shared" si="128"/>
        <v>12</v>
      </c>
      <c r="AQ41" s="73">
        <f t="shared" si="129"/>
        <v>63</v>
      </c>
      <c r="AR41" s="96">
        <f t="shared" si="130"/>
        <v>378750</v>
      </c>
      <c r="AS41" s="96">
        <f t="shared" si="131"/>
        <v>1988437.5</v>
      </c>
      <c r="AT41" s="96">
        <f t="shared" si="132"/>
        <v>1041562.5</v>
      </c>
      <c r="AU41" s="286"/>
      <c r="AV41" s="202">
        <f t="shared" ref="AV41:AV42" si="149">SUM(AW41:BH41)</f>
        <v>378750</v>
      </c>
      <c r="AW41" s="203">
        <f t="shared" si="134"/>
        <v>31562.5</v>
      </c>
      <c r="AX41" s="203">
        <f t="shared" si="135"/>
        <v>31562.5</v>
      </c>
      <c r="AY41" s="203">
        <f t="shared" si="136"/>
        <v>31562.5</v>
      </c>
      <c r="AZ41" s="203">
        <f t="shared" si="137"/>
        <v>31562.5</v>
      </c>
      <c r="BA41" s="203">
        <f t="shared" si="138"/>
        <v>31562.5</v>
      </c>
      <c r="BB41" s="203">
        <f t="shared" si="139"/>
        <v>31562.5</v>
      </c>
      <c r="BC41" s="203">
        <f t="shared" si="140"/>
        <v>31562.5</v>
      </c>
      <c r="BD41" s="203">
        <f t="shared" si="141"/>
        <v>31562.5</v>
      </c>
      <c r="BE41" s="203">
        <f t="shared" si="142"/>
        <v>31562.5</v>
      </c>
      <c r="BF41" s="203">
        <f t="shared" si="143"/>
        <v>31562.5</v>
      </c>
      <c r="BG41" s="203">
        <f t="shared" si="144"/>
        <v>31562.5</v>
      </c>
      <c r="BH41" s="203">
        <f t="shared" si="145"/>
        <v>31562.5</v>
      </c>
    </row>
    <row r="42" spans="2:60" s="11" customFormat="1" x14ac:dyDescent="0.2">
      <c r="B42" s="97"/>
      <c r="C42" s="257">
        <v>44497</v>
      </c>
      <c r="D42" s="273" t="s">
        <v>360</v>
      </c>
      <c r="E42" s="274">
        <v>1</v>
      </c>
      <c r="F42" s="260" t="s">
        <v>362</v>
      </c>
      <c r="G42" s="261">
        <v>0.125</v>
      </c>
      <c r="H42" s="262"/>
      <c r="I42" s="262"/>
      <c r="J42" s="262"/>
      <c r="K42" s="262"/>
      <c r="L42" s="262"/>
      <c r="M42" s="262"/>
      <c r="N42" s="262">
        <v>35000000</v>
      </c>
      <c r="O42" s="263">
        <v>8</v>
      </c>
      <c r="P42" s="260">
        <v>96</v>
      </c>
      <c r="Q42" s="260">
        <v>10</v>
      </c>
      <c r="R42" s="264">
        <v>2021</v>
      </c>
      <c r="S42" s="265">
        <f t="shared" si="146"/>
        <v>9</v>
      </c>
      <c r="T42" s="266">
        <f t="shared" si="147"/>
        <v>2029</v>
      </c>
      <c r="U42" s="96">
        <f t="shared" si="148"/>
        <v>364583.33333333331</v>
      </c>
      <c r="V42" s="73">
        <v>12</v>
      </c>
      <c r="W42" s="73">
        <v>15</v>
      </c>
      <c r="X42" s="96">
        <f t="shared" si="111"/>
        <v>4375000</v>
      </c>
      <c r="Y42" s="96">
        <v>5468750</v>
      </c>
      <c r="Z42" s="96">
        <f t="shared" si="112"/>
        <v>29531250</v>
      </c>
      <c r="AA42" s="73">
        <f t="shared" si="113"/>
        <v>12</v>
      </c>
      <c r="AB42" s="73">
        <f t="shared" si="114"/>
        <v>27</v>
      </c>
      <c r="AC42" s="96">
        <f t="shared" si="115"/>
        <v>4375000</v>
      </c>
      <c r="AD42" s="96">
        <f t="shared" si="116"/>
        <v>9843750</v>
      </c>
      <c r="AE42" s="96">
        <f t="shared" si="117"/>
        <v>25156250</v>
      </c>
      <c r="AF42" s="73">
        <f t="shared" si="118"/>
        <v>12</v>
      </c>
      <c r="AG42" s="73">
        <f t="shared" si="119"/>
        <v>39</v>
      </c>
      <c r="AH42" s="96">
        <f t="shared" si="120"/>
        <v>4375000</v>
      </c>
      <c r="AI42" s="96">
        <f t="shared" si="121"/>
        <v>14218750</v>
      </c>
      <c r="AJ42" s="96">
        <f t="shared" si="122"/>
        <v>20781250</v>
      </c>
      <c r="AK42" s="73">
        <f t="shared" si="123"/>
        <v>12</v>
      </c>
      <c r="AL42" s="73">
        <f t="shared" si="124"/>
        <v>51</v>
      </c>
      <c r="AM42" s="96">
        <f t="shared" si="125"/>
        <v>4375000</v>
      </c>
      <c r="AN42" s="96">
        <f t="shared" si="126"/>
        <v>18593750</v>
      </c>
      <c r="AO42" s="96">
        <f t="shared" si="127"/>
        <v>16406250</v>
      </c>
      <c r="AP42" s="73">
        <f t="shared" si="128"/>
        <v>12</v>
      </c>
      <c r="AQ42" s="73">
        <f t="shared" si="129"/>
        <v>63</v>
      </c>
      <c r="AR42" s="96">
        <f t="shared" si="130"/>
        <v>4375000</v>
      </c>
      <c r="AS42" s="96">
        <f t="shared" si="131"/>
        <v>22968750</v>
      </c>
      <c r="AT42" s="96">
        <f t="shared" si="132"/>
        <v>12031250</v>
      </c>
      <c r="AU42" s="286"/>
      <c r="AV42" s="202">
        <f t="shared" si="149"/>
        <v>4375000.0000000009</v>
      </c>
      <c r="AW42" s="203">
        <f t="shared" si="134"/>
        <v>364583.33333333331</v>
      </c>
      <c r="AX42" s="203">
        <f t="shared" si="135"/>
        <v>364583.33333333331</v>
      </c>
      <c r="AY42" s="203">
        <f t="shared" si="136"/>
        <v>364583.33333333331</v>
      </c>
      <c r="AZ42" s="203">
        <f t="shared" si="137"/>
        <v>364583.33333333331</v>
      </c>
      <c r="BA42" s="203">
        <f t="shared" si="138"/>
        <v>364583.33333333331</v>
      </c>
      <c r="BB42" s="203">
        <f t="shared" si="139"/>
        <v>364583.33333333331</v>
      </c>
      <c r="BC42" s="203">
        <f t="shared" si="140"/>
        <v>364583.33333333331</v>
      </c>
      <c r="BD42" s="203">
        <f t="shared" si="141"/>
        <v>364583.33333333331</v>
      </c>
      <c r="BE42" s="203">
        <f t="shared" si="142"/>
        <v>364583.33333333331</v>
      </c>
      <c r="BF42" s="203">
        <f t="shared" si="143"/>
        <v>364583.33333333331</v>
      </c>
      <c r="BG42" s="203">
        <f t="shared" si="144"/>
        <v>364583.33333333331</v>
      </c>
      <c r="BH42" s="203">
        <f t="shared" si="145"/>
        <v>364583.33333333331</v>
      </c>
    </row>
    <row r="43" spans="2:60" s="11" customFormat="1" x14ac:dyDescent="0.2">
      <c r="B43" s="97"/>
      <c r="C43" s="257"/>
      <c r="D43" s="273"/>
      <c r="E43" s="259"/>
      <c r="F43" s="260"/>
      <c r="G43" s="261"/>
      <c r="H43" s="262"/>
      <c r="I43" s="262"/>
      <c r="J43" s="262"/>
      <c r="K43" s="262"/>
      <c r="L43" s="262"/>
      <c r="M43" s="262"/>
      <c r="N43" s="154"/>
      <c r="O43" s="263"/>
      <c r="P43" s="260"/>
      <c r="Q43" s="260"/>
      <c r="R43" s="264"/>
      <c r="S43" s="265"/>
      <c r="T43" s="266"/>
      <c r="U43" s="222"/>
      <c r="V43" s="109"/>
      <c r="W43" s="109"/>
      <c r="X43" s="232"/>
      <c r="Y43" s="232"/>
      <c r="Z43" s="232"/>
      <c r="AA43" s="109"/>
      <c r="AB43" s="109"/>
      <c r="AC43" s="232"/>
      <c r="AD43" s="232"/>
      <c r="AE43" s="232"/>
      <c r="AF43" s="109"/>
      <c r="AG43" s="109"/>
      <c r="AH43" s="232"/>
      <c r="AI43" s="232"/>
      <c r="AJ43" s="232"/>
      <c r="AK43" s="109"/>
      <c r="AL43" s="109"/>
      <c r="AM43" s="232"/>
      <c r="AN43" s="232"/>
      <c r="AO43" s="232"/>
      <c r="AP43" s="109"/>
      <c r="AQ43" s="109"/>
      <c r="AR43" s="232"/>
      <c r="AS43" s="232"/>
      <c r="AT43" s="232"/>
      <c r="AU43" s="285"/>
    </row>
    <row r="44" spans="2:60" s="11" customFormat="1" x14ac:dyDescent="0.2">
      <c r="B44" s="97"/>
      <c r="C44" s="98"/>
      <c r="D44" s="99"/>
      <c r="E44" s="100"/>
      <c r="F44" s="101"/>
      <c r="G44" s="102"/>
      <c r="H44" s="103"/>
      <c r="I44" s="103"/>
      <c r="J44" s="103"/>
      <c r="K44" s="103"/>
      <c r="L44" s="103"/>
      <c r="M44" s="103"/>
      <c r="N44" s="235">
        <f>SUM(N31:N43)</f>
        <v>94504400</v>
      </c>
      <c r="O44" s="104"/>
      <c r="P44" s="101"/>
      <c r="Q44" s="101"/>
      <c r="R44" s="105"/>
      <c r="S44" s="106"/>
      <c r="T44" s="107"/>
      <c r="U44" s="235">
        <f>SUM(U31:U43)</f>
        <v>984420.83333333326</v>
      </c>
      <c r="V44" s="109"/>
      <c r="W44" s="109"/>
      <c r="X44" s="251">
        <f t="shared" ref="X44:Z44" si="150">SUM(X31:X43)</f>
        <v>11813050</v>
      </c>
      <c r="Y44" s="251">
        <f t="shared" si="150"/>
        <v>17061600</v>
      </c>
      <c r="Z44" s="251">
        <f t="shared" si="150"/>
        <v>77442800</v>
      </c>
      <c r="AA44" s="109"/>
      <c r="AB44" s="109"/>
      <c r="AC44" s="251">
        <f t="shared" ref="AC44:AE44" si="151">SUM(AC31:AC43)</f>
        <v>11813050</v>
      </c>
      <c r="AD44" s="251">
        <f t="shared" si="151"/>
        <v>28874650</v>
      </c>
      <c r="AE44" s="251">
        <f t="shared" si="151"/>
        <v>65629750</v>
      </c>
      <c r="AF44" s="109"/>
      <c r="AG44" s="109"/>
      <c r="AH44" s="251">
        <f t="shared" ref="AH44:AJ44" si="152">SUM(AH31:AH43)</f>
        <v>11813050</v>
      </c>
      <c r="AI44" s="251">
        <f t="shared" si="152"/>
        <v>40687700</v>
      </c>
      <c r="AJ44" s="251">
        <f t="shared" si="152"/>
        <v>53816700</v>
      </c>
      <c r="AK44" s="109"/>
      <c r="AL44" s="109"/>
      <c r="AM44" s="251">
        <f t="shared" ref="AM44:AO44" si="153">SUM(AM31:AM43)</f>
        <v>11813050</v>
      </c>
      <c r="AN44" s="251">
        <f t="shared" si="153"/>
        <v>52500750</v>
      </c>
      <c r="AO44" s="251">
        <f t="shared" si="153"/>
        <v>42003650</v>
      </c>
      <c r="AP44" s="109"/>
      <c r="AQ44" s="109"/>
      <c r="AR44" s="251">
        <f t="shared" ref="AR44:AT44" si="154">SUM(AR31:AR43)</f>
        <v>11813050</v>
      </c>
      <c r="AS44" s="251">
        <f t="shared" si="154"/>
        <v>64313800</v>
      </c>
      <c r="AT44" s="251">
        <f t="shared" si="154"/>
        <v>30190600</v>
      </c>
      <c r="AU44" s="287"/>
      <c r="AV44" s="272">
        <f t="shared" ref="AV44" si="155">SUM(AV31:AV43)</f>
        <v>11813050</v>
      </c>
      <c r="AW44" s="254">
        <f t="shared" ref="AW44" si="156">SUM(AW31:AW43)</f>
        <v>984420.83333333326</v>
      </c>
      <c r="AX44" s="254">
        <f t="shared" ref="AX44" si="157">SUM(AX31:AX43)</f>
        <v>984420.83333333326</v>
      </c>
      <c r="AY44" s="254">
        <f t="shared" ref="AY44" si="158">SUM(AY31:AY43)</f>
        <v>984420.83333333326</v>
      </c>
      <c r="AZ44" s="254">
        <f t="shared" ref="AZ44" si="159">SUM(AZ31:AZ43)</f>
        <v>984420.83333333326</v>
      </c>
      <c r="BA44" s="254">
        <f t="shared" ref="BA44" si="160">SUM(BA31:BA43)</f>
        <v>984420.83333333326</v>
      </c>
      <c r="BB44" s="254">
        <f t="shared" ref="BB44" si="161">SUM(BB31:BB43)</f>
        <v>984420.83333333326</v>
      </c>
      <c r="BC44" s="254">
        <f t="shared" ref="BC44" si="162">SUM(BC31:BC43)</f>
        <v>984420.83333333326</v>
      </c>
      <c r="BD44" s="254">
        <f t="shared" ref="BD44" si="163">SUM(BD31:BD43)</f>
        <v>984420.83333333326</v>
      </c>
      <c r="BE44" s="254">
        <f t="shared" ref="BE44" si="164">SUM(BE31:BE43)</f>
        <v>984420.83333333326</v>
      </c>
      <c r="BF44" s="254">
        <f t="shared" ref="BF44" si="165">SUM(BF31:BF43)</f>
        <v>984420.83333333326</v>
      </c>
      <c r="BG44" s="254">
        <f t="shared" ref="BG44" si="166">SUM(BG31:BG43)</f>
        <v>984420.83333333326</v>
      </c>
      <c r="BH44" s="254">
        <f t="shared" ref="BH44" si="167">SUM(BH31:BH43)</f>
        <v>984420.83333333326</v>
      </c>
    </row>
    <row r="45" spans="2:60" s="11" customFormat="1" x14ac:dyDescent="0.2">
      <c r="B45" s="97"/>
      <c r="C45" s="98"/>
      <c r="D45" s="99"/>
      <c r="E45" s="100"/>
      <c r="F45" s="101"/>
      <c r="G45" s="102"/>
      <c r="H45" s="103"/>
      <c r="I45" s="103"/>
      <c r="J45" s="103"/>
      <c r="K45" s="103"/>
      <c r="L45" s="103"/>
      <c r="M45" s="103"/>
      <c r="N45" s="256"/>
      <c r="O45" s="104"/>
      <c r="P45" s="101"/>
      <c r="Q45" s="101"/>
      <c r="R45" s="105"/>
      <c r="S45" s="106"/>
      <c r="T45" s="107"/>
      <c r="U45" s="256"/>
      <c r="V45" s="109"/>
      <c r="W45" s="109"/>
      <c r="X45" s="103"/>
      <c r="Y45" s="103"/>
      <c r="Z45" s="103"/>
      <c r="AA45" s="109"/>
      <c r="AB45" s="109"/>
      <c r="AC45" s="103"/>
      <c r="AD45" s="103"/>
      <c r="AE45" s="103"/>
      <c r="AF45" s="109"/>
      <c r="AG45" s="109"/>
      <c r="AH45" s="103"/>
      <c r="AI45" s="103"/>
      <c r="AJ45" s="103"/>
      <c r="AK45" s="109"/>
      <c r="AL45" s="109"/>
      <c r="AM45" s="103"/>
      <c r="AN45" s="103"/>
      <c r="AO45" s="103"/>
      <c r="AP45" s="109"/>
      <c r="AQ45" s="109"/>
      <c r="AR45" s="103"/>
      <c r="AS45" s="103"/>
      <c r="AT45" s="103"/>
      <c r="AU45" s="288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255"/>
    </row>
    <row r="46" spans="2:60" s="11" customFormat="1" x14ac:dyDescent="0.2">
      <c r="B46" s="97"/>
      <c r="C46" s="257">
        <v>44721</v>
      </c>
      <c r="D46" s="273" t="s">
        <v>376</v>
      </c>
      <c r="E46" s="259">
        <v>1</v>
      </c>
      <c r="F46" s="260" t="s">
        <v>377</v>
      </c>
      <c r="G46" s="261">
        <v>0.125</v>
      </c>
      <c r="H46" s="262"/>
      <c r="I46" s="262"/>
      <c r="J46" s="262"/>
      <c r="K46" s="262"/>
      <c r="L46" s="262"/>
      <c r="M46" s="262"/>
      <c r="N46" s="262">
        <v>17244000</v>
      </c>
      <c r="O46" s="263">
        <v>8</v>
      </c>
      <c r="P46" s="260">
        <v>96</v>
      </c>
      <c r="Q46" s="260">
        <v>6</v>
      </c>
      <c r="R46" s="264">
        <v>2022</v>
      </c>
      <c r="S46" s="265">
        <f t="shared" ref="S46" si="168">IF(Q46=1, 12, Q46-1)</f>
        <v>5</v>
      </c>
      <c r="T46" s="266">
        <f t="shared" ref="T46" si="169">IF(Q46=1,R46+O46-1,R46+O46)</f>
        <v>2030</v>
      </c>
      <c r="U46" s="96">
        <f t="shared" ref="U46" si="170">N46/P46</f>
        <v>179625</v>
      </c>
      <c r="V46" s="73">
        <v>7</v>
      </c>
      <c r="W46" s="73">
        <v>7</v>
      </c>
      <c r="X46" s="96">
        <f>V46*U46</f>
        <v>1257375</v>
      </c>
      <c r="Y46" s="96">
        <v>1257375</v>
      </c>
      <c r="Z46" s="96">
        <f>N46-Y46</f>
        <v>15986625</v>
      </c>
      <c r="AA46" s="73">
        <f>IF(W46&gt;=U46-12,U46-W46,12)</f>
        <v>12</v>
      </c>
      <c r="AB46" s="73">
        <f t="shared" ref="AB46:AB48" si="171">+W46+AA46</f>
        <v>19</v>
      </c>
      <c r="AC46" s="96">
        <f>AA46*U46</f>
        <v>2155500</v>
      </c>
      <c r="AD46" s="96">
        <f t="shared" ref="AD46:AD48" si="172">Y46+AC46</f>
        <v>3412875</v>
      </c>
      <c r="AE46" s="96">
        <f>N46-AD46</f>
        <v>13831125</v>
      </c>
      <c r="AF46" s="73">
        <f t="shared" ref="AF46:AF48" si="173">IF(AB46&gt;=U46-12,U46-AB46,12)</f>
        <v>12</v>
      </c>
      <c r="AG46" s="73">
        <f t="shared" ref="AG46:AG48" si="174">+AB46+AF46</f>
        <v>31</v>
      </c>
      <c r="AH46" s="96">
        <f t="shared" ref="AH46:AH48" si="175">AF46*U46</f>
        <v>2155500</v>
      </c>
      <c r="AI46" s="96">
        <f t="shared" ref="AI46:AI48" si="176">AD46+AH46</f>
        <v>5568375</v>
      </c>
      <c r="AJ46" s="96">
        <f t="shared" ref="AJ46:AJ48" si="177">N46-AI46</f>
        <v>11675625</v>
      </c>
      <c r="AK46" s="73">
        <f t="shared" ref="AK46:AK48" si="178">IF(AG46&gt;=U46-12,U46-AG46,12)</f>
        <v>12</v>
      </c>
      <c r="AL46" s="73">
        <f t="shared" ref="AL46:AL48" si="179">+AG46+AK46</f>
        <v>43</v>
      </c>
      <c r="AM46" s="96">
        <f t="shared" ref="AM46:AM48" si="180">AK46*U46</f>
        <v>2155500</v>
      </c>
      <c r="AN46" s="96">
        <f>AI46+AM46</f>
        <v>7723875</v>
      </c>
      <c r="AO46" s="96">
        <f t="shared" ref="AO46:AO48" si="181">N46-AN46</f>
        <v>9520125</v>
      </c>
      <c r="AP46" s="73">
        <f t="shared" ref="AP46:AP48" si="182">IF(AL46&gt;=U46-12,U46-AL46,12)</f>
        <v>12</v>
      </c>
      <c r="AQ46" s="73">
        <f t="shared" ref="AQ46:AQ48" si="183">+AL46+AP46</f>
        <v>55</v>
      </c>
      <c r="AR46" s="96">
        <f t="shared" ref="AR46:AR48" si="184">AP46*U46</f>
        <v>2155500</v>
      </c>
      <c r="AS46" s="96">
        <f>AN46+AR46</f>
        <v>9879375</v>
      </c>
      <c r="AT46" s="96">
        <f t="shared" ref="AT46:AT48" si="185">N46-AS46</f>
        <v>7364625</v>
      </c>
      <c r="AU46" s="286"/>
      <c r="AV46" s="202">
        <f t="shared" ref="AV46" si="186">SUM(AW46:BH46)</f>
        <v>2155500</v>
      </c>
      <c r="AW46" s="203">
        <f>+U46*1</f>
        <v>179625</v>
      </c>
      <c r="AX46" s="203">
        <f>+U46*1</f>
        <v>179625</v>
      </c>
      <c r="AY46" s="203">
        <f>+U46*1</f>
        <v>179625</v>
      </c>
      <c r="AZ46" s="203">
        <f>+U46*1</f>
        <v>179625</v>
      </c>
      <c r="BA46" s="203">
        <f>+U46*1</f>
        <v>179625</v>
      </c>
      <c r="BB46" s="203">
        <f>+U46*1</f>
        <v>179625</v>
      </c>
      <c r="BC46" s="203">
        <f>+U46*1</f>
        <v>179625</v>
      </c>
      <c r="BD46" s="203">
        <f>+U46*1</f>
        <v>179625</v>
      </c>
      <c r="BE46" s="203">
        <f>+U46*1</f>
        <v>179625</v>
      </c>
      <c r="BF46" s="203">
        <f>+U46*1</f>
        <v>179625</v>
      </c>
      <c r="BG46" s="203">
        <f>+U46*1</f>
        <v>179625</v>
      </c>
      <c r="BH46" s="203">
        <f>+U46*1</f>
        <v>179625</v>
      </c>
    </row>
    <row r="47" spans="2:60" s="11" customFormat="1" x14ac:dyDescent="0.2">
      <c r="B47" s="97"/>
      <c r="C47" s="257">
        <v>44816</v>
      </c>
      <c r="D47" s="273" t="s">
        <v>382</v>
      </c>
      <c r="E47" s="259">
        <v>1</v>
      </c>
      <c r="F47" s="260" t="s">
        <v>383</v>
      </c>
      <c r="G47" s="261">
        <v>0.125</v>
      </c>
      <c r="H47" s="262"/>
      <c r="I47" s="262"/>
      <c r="J47" s="262"/>
      <c r="K47" s="262"/>
      <c r="L47" s="262"/>
      <c r="M47" s="262"/>
      <c r="N47" s="306">
        <v>2300000</v>
      </c>
      <c r="O47" s="263">
        <v>8</v>
      </c>
      <c r="P47" s="260">
        <v>96</v>
      </c>
      <c r="Q47" s="260">
        <v>9</v>
      </c>
      <c r="R47" s="264">
        <v>2022</v>
      </c>
      <c r="S47" s="265">
        <f t="shared" ref="S47" si="187">IF(Q47=1, 12, Q47-1)</f>
        <v>8</v>
      </c>
      <c r="T47" s="266">
        <f t="shared" ref="T47" si="188">IF(Q47=1,R47+O47-1,R47+O47)</f>
        <v>2030</v>
      </c>
      <c r="U47" s="96">
        <f t="shared" ref="U47" si="189">N47/P47</f>
        <v>23958.333333333332</v>
      </c>
      <c r="V47" s="73">
        <v>4</v>
      </c>
      <c r="W47" s="73">
        <v>4</v>
      </c>
      <c r="X47" s="96">
        <f>V47*U47</f>
        <v>95833.333333333328</v>
      </c>
      <c r="Y47" s="96">
        <v>95833.333333333328</v>
      </c>
      <c r="Z47" s="96">
        <f>N47-Y47</f>
        <v>2204166.6666666665</v>
      </c>
      <c r="AA47" s="73">
        <f>IF(W47&gt;=U47-12,U47-W47,12)</f>
        <v>12</v>
      </c>
      <c r="AB47" s="73">
        <f t="shared" si="171"/>
        <v>16</v>
      </c>
      <c r="AC47" s="96">
        <f>AA47*U47</f>
        <v>287500</v>
      </c>
      <c r="AD47" s="96">
        <f t="shared" si="172"/>
        <v>383333.33333333331</v>
      </c>
      <c r="AE47" s="96">
        <f>N47-AD47</f>
        <v>1916666.6666666667</v>
      </c>
      <c r="AF47" s="73">
        <f t="shared" si="173"/>
        <v>12</v>
      </c>
      <c r="AG47" s="73">
        <f t="shared" si="174"/>
        <v>28</v>
      </c>
      <c r="AH47" s="96">
        <f t="shared" si="175"/>
        <v>287500</v>
      </c>
      <c r="AI47" s="96">
        <f t="shared" si="176"/>
        <v>670833.33333333326</v>
      </c>
      <c r="AJ47" s="96">
        <f t="shared" si="177"/>
        <v>1629166.6666666667</v>
      </c>
      <c r="AK47" s="73">
        <f t="shared" si="178"/>
        <v>12</v>
      </c>
      <c r="AL47" s="73">
        <f t="shared" si="179"/>
        <v>40</v>
      </c>
      <c r="AM47" s="96">
        <f t="shared" si="180"/>
        <v>287500</v>
      </c>
      <c r="AN47" s="96">
        <f t="shared" ref="AN47:AN48" si="190">AI47+AM47</f>
        <v>958333.33333333326</v>
      </c>
      <c r="AO47" s="96">
        <f t="shared" si="181"/>
        <v>1341666.6666666667</v>
      </c>
      <c r="AP47" s="73">
        <f t="shared" si="182"/>
        <v>12</v>
      </c>
      <c r="AQ47" s="73">
        <f t="shared" si="183"/>
        <v>52</v>
      </c>
      <c r="AR47" s="96">
        <f t="shared" si="184"/>
        <v>287500</v>
      </c>
      <c r="AS47" s="96">
        <f t="shared" ref="AS47:AS48" si="191">AN47+AR47</f>
        <v>1245833.3333333333</v>
      </c>
      <c r="AT47" s="96">
        <f t="shared" si="185"/>
        <v>1054166.6666666667</v>
      </c>
      <c r="AU47" s="286"/>
      <c r="AV47" s="202">
        <f t="shared" ref="AV47" si="192">SUM(AW47:BH47)</f>
        <v>287500</v>
      </c>
      <c r="AW47" s="203">
        <f>+U47*1</f>
        <v>23958.333333333332</v>
      </c>
      <c r="AX47" s="203">
        <f>+U47*1</f>
        <v>23958.333333333332</v>
      </c>
      <c r="AY47" s="203">
        <f>+U47*1</f>
        <v>23958.333333333332</v>
      </c>
      <c r="AZ47" s="203">
        <f>+U47*1</f>
        <v>23958.333333333332</v>
      </c>
      <c r="BA47" s="203">
        <f>+U47*1</f>
        <v>23958.333333333332</v>
      </c>
      <c r="BB47" s="203">
        <f>+U47*1</f>
        <v>23958.333333333332</v>
      </c>
      <c r="BC47" s="203">
        <f>+U47*1</f>
        <v>23958.333333333332</v>
      </c>
      <c r="BD47" s="203">
        <f>+U47*1</f>
        <v>23958.333333333332</v>
      </c>
      <c r="BE47" s="203">
        <f>+U47*1</f>
        <v>23958.333333333332</v>
      </c>
      <c r="BF47" s="203">
        <f>+U47*1</f>
        <v>23958.333333333332</v>
      </c>
      <c r="BG47" s="203">
        <f>+U47*1</f>
        <v>23958.333333333332</v>
      </c>
      <c r="BH47" s="203">
        <f>+U47*1</f>
        <v>23958.333333333332</v>
      </c>
    </row>
    <row r="48" spans="2:60" s="11" customFormat="1" x14ac:dyDescent="0.2">
      <c r="B48" s="97"/>
      <c r="C48" s="257">
        <v>44900</v>
      </c>
      <c r="D48" s="273" t="s">
        <v>385</v>
      </c>
      <c r="E48" s="259">
        <v>2</v>
      </c>
      <c r="F48" s="260" t="s">
        <v>386</v>
      </c>
      <c r="G48" s="261">
        <v>0.125</v>
      </c>
      <c r="H48" s="262"/>
      <c r="I48" s="262"/>
      <c r="J48" s="262"/>
      <c r="K48" s="262"/>
      <c r="L48" s="262"/>
      <c r="M48" s="262"/>
      <c r="N48" s="306">
        <v>2500000</v>
      </c>
      <c r="O48" s="263">
        <v>8</v>
      </c>
      <c r="P48" s="260">
        <v>96</v>
      </c>
      <c r="Q48" s="260">
        <v>12</v>
      </c>
      <c r="R48" s="264">
        <v>2022</v>
      </c>
      <c r="S48" s="265">
        <f t="shared" ref="S48" si="193">IF(Q48=1, 12, Q48-1)</f>
        <v>11</v>
      </c>
      <c r="T48" s="266">
        <f t="shared" ref="T48" si="194">IF(Q48=1,R48+O48-1,R48+O48)</f>
        <v>2030</v>
      </c>
      <c r="U48" s="96">
        <f t="shared" ref="U48" si="195">N48/P48</f>
        <v>26041.666666666668</v>
      </c>
      <c r="V48" s="73">
        <v>1</v>
      </c>
      <c r="W48" s="73">
        <v>1</v>
      </c>
      <c r="X48" s="96">
        <f>V48*U48</f>
        <v>26041.666666666668</v>
      </c>
      <c r="Y48" s="96">
        <v>26041.666666666668</v>
      </c>
      <c r="Z48" s="96">
        <f>N48-Y48</f>
        <v>2473958.3333333335</v>
      </c>
      <c r="AA48" s="73">
        <f>IF(W48&gt;=U48-12,U48-W48,12)</f>
        <v>12</v>
      </c>
      <c r="AB48" s="73">
        <f t="shared" si="171"/>
        <v>13</v>
      </c>
      <c r="AC48" s="96">
        <f>AA48*U48</f>
        <v>312500</v>
      </c>
      <c r="AD48" s="96">
        <f t="shared" si="172"/>
        <v>338541.66666666669</v>
      </c>
      <c r="AE48" s="96">
        <f>N48-AD48</f>
        <v>2161458.3333333335</v>
      </c>
      <c r="AF48" s="73">
        <f t="shared" si="173"/>
        <v>12</v>
      </c>
      <c r="AG48" s="73">
        <f t="shared" si="174"/>
        <v>25</v>
      </c>
      <c r="AH48" s="96">
        <f t="shared" si="175"/>
        <v>312500</v>
      </c>
      <c r="AI48" s="96">
        <f t="shared" si="176"/>
        <v>651041.66666666674</v>
      </c>
      <c r="AJ48" s="96">
        <f t="shared" si="177"/>
        <v>1848958.3333333333</v>
      </c>
      <c r="AK48" s="73">
        <f t="shared" si="178"/>
        <v>12</v>
      </c>
      <c r="AL48" s="73">
        <f t="shared" si="179"/>
        <v>37</v>
      </c>
      <c r="AM48" s="96">
        <f t="shared" si="180"/>
        <v>312500</v>
      </c>
      <c r="AN48" s="96">
        <f t="shared" si="190"/>
        <v>963541.66666666674</v>
      </c>
      <c r="AO48" s="96">
        <f t="shared" si="181"/>
        <v>1536458.3333333333</v>
      </c>
      <c r="AP48" s="73">
        <f t="shared" si="182"/>
        <v>12</v>
      </c>
      <c r="AQ48" s="73">
        <f t="shared" si="183"/>
        <v>49</v>
      </c>
      <c r="AR48" s="96">
        <f t="shared" si="184"/>
        <v>312500</v>
      </c>
      <c r="AS48" s="96">
        <f t="shared" si="191"/>
        <v>1276041.6666666667</v>
      </c>
      <c r="AT48" s="96">
        <f t="shared" si="185"/>
        <v>1223958.3333333333</v>
      </c>
      <c r="AU48" s="286"/>
      <c r="AV48" s="202">
        <f t="shared" ref="AV48" si="196">SUM(AW48:BH48)</f>
        <v>312500</v>
      </c>
      <c r="AW48" s="203">
        <f>+U48*1</f>
        <v>26041.666666666668</v>
      </c>
      <c r="AX48" s="203">
        <f>+U48*1</f>
        <v>26041.666666666668</v>
      </c>
      <c r="AY48" s="203">
        <f>+U48*1</f>
        <v>26041.666666666668</v>
      </c>
      <c r="AZ48" s="203">
        <f>+U48*1</f>
        <v>26041.666666666668</v>
      </c>
      <c r="BA48" s="203">
        <f>+U48*1</f>
        <v>26041.666666666668</v>
      </c>
      <c r="BB48" s="203">
        <f>+U48*1</f>
        <v>26041.666666666668</v>
      </c>
      <c r="BC48" s="203">
        <f>+U48*1</f>
        <v>26041.666666666668</v>
      </c>
      <c r="BD48" s="203">
        <f>+U48*1</f>
        <v>26041.666666666668</v>
      </c>
      <c r="BE48" s="203">
        <f>+U48*1</f>
        <v>26041.666666666668</v>
      </c>
      <c r="BF48" s="203">
        <f>+U48*1</f>
        <v>26041.666666666668</v>
      </c>
      <c r="BG48" s="203">
        <f>+U48*1</f>
        <v>26041.666666666668</v>
      </c>
      <c r="BH48" s="203">
        <f>+U48*1</f>
        <v>26041.666666666668</v>
      </c>
    </row>
    <row r="49" spans="2:60" s="11" customFormat="1" x14ac:dyDescent="0.2">
      <c r="B49" s="97"/>
      <c r="C49" s="98"/>
      <c r="D49" s="99"/>
      <c r="E49" s="100"/>
      <c r="F49" s="101"/>
      <c r="G49" s="102"/>
      <c r="H49" s="103"/>
      <c r="I49" s="103"/>
      <c r="J49" s="103"/>
      <c r="K49" s="103"/>
      <c r="L49" s="103"/>
      <c r="M49" s="103"/>
      <c r="N49" s="256"/>
      <c r="O49" s="104"/>
      <c r="P49" s="101"/>
      <c r="Q49" s="101"/>
      <c r="R49" s="105"/>
      <c r="S49" s="106"/>
      <c r="T49" s="107"/>
      <c r="U49" s="256"/>
      <c r="V49" s="109"/>
      <c r="W49" s="109"/>
      <c r="X49" s="215"/>
      <c r="Y49" s="215"/>
      <c r="Z49" s="215"/>
      <c r="AA49" s="109"/>
      <c r="AB49" s="109"/>
      <c r="AC49" s="215"/>
      <c r="AD49" s="215"/>
      <c r="AE49" s="215"/>
      <c r="AF49" s="109"/>
      <c r="AG49" s="109"/>
      <c r="AH49" s="215"/>
      <c r="AI49" s="215"/>
      <c r="AJ49" s="215"/>
      <c r="AK49" s="109"/>
      <c r="AL49" s="109"/>
      <c r="AM49" s="215"/>
      <c r="AN49" s="215"/>
      <c r="AO49" s="215"/>
      <c r="AP49" s="109"/>
      <c r="AQ49" s="109"/>
      <c r="AR49" s="215"/>
      <c r="AS49" s="215"/>
      <c r="AT49" s="215"/>
      <c r="AU49" s="292"/>
      <c r="AV49" s="290"/>
      <c r="AW49" s="255"/>
      <c r="AX49" s="255"/>
      <c r="AY49" s="255"/>
      <c r="AZ49" s="255"/>
      <c r="BA49" s="255"/>
      <c r="BB49" s="255"/>
      <c r="BC49" s="255"/>
      <c r="BD49" s="255"/>
      <c r="BE49" s="255"/>
      <c r="BF49" s="255"/>
      <c r="BG49" s="255"/>
      <c r="BH49" s="255"/>
    </row>
    <row r="50" spans="2:60" s="11" customFormat="1" x14ac:dyDescent="0.2">
      <c r="B50" s="97"/>
      <c r="C50" s="98"/>
      <c r="D50" s="99"/>
      <c r="E50" s="100"/>
      <c r="F50" s="101"/>
      <c r="G50" s="102"/>
      <c r="H50" s="103"/>
      <c r="I50" s="103"/>
      <c r="J50" s="103"/>
      <c r="K50" s="103"/>
      <c r="L50" s="103"/>
      <c r="M50" s="103"/>
      <c r="N50" s="235">
        <f>SUM(N46:N49)</f>
        <v>22044000</v>
      </c>
      <c r="O50" s="104"/>
      <c r="P50" s="101"/>
      <c r="Q50" s="101"/>
      <c r="R50" s="105"/>
      <c r="S50" s="106"/>
      <c r="T50" s="107"/>
      <c r="U50" s="235">
        <f>SUM(U46:U49)</f>
        <v>229625</v>
      </c>
      <c r="V50" s="109"/>
      <c r="W50" s="109"/>
      <c r="X50" s="251">
        <f t="shared" ref="X50:Z50" si="197">SUM(X46:X49)</f>
        <v>1379250</v>
      </c>
      <c r="Y50" s="251">
        <f t="shared" si="197"/>
        <v>1379250</v>
      </c>
      <c r="Z50" s="251">
        <f t="shared" si="197"/>
        <v>20664750</v>
      </c>
      <c r="AA50" s="109"/>
      <c r="AB50" s="109"/>
      <c r="AC50" s="251">
        <f t="shared" ref="AC50:AE50" si="198">SUM(AC46:AC49)</f>
        <v>2755500</v>
      </c>
      <c r="AD50" s="251">
        <f t="shared" si="198"/>
        <v>4134750</v>
      </c>
      <c r="AE50" s="251">
        <f t="shared" si="198"/>
        <v>17909250</v>
      </c>
      <c r="AF50" s="109"/>
      <c r="AG50" s="109"/>
      <c r="AH50" s="251">
        <f t="shared" ref="AH50:AJ50" si="199">SUM(AH46:AH49)</f>
        <v>2755500</v>
      </c>
      <c r="AI50" s="251">
        <f t="shared" si="199"/>
        <v>6890250</v>
      </c>
      <c r="AJ50" s="251">
        <f t="shared" si="199"/>
        <v>15153750</v>
      </c>
      <c r="AK50" s="109"/>
      <c r="AL50" s="109"/>
      <c r="AM50" s="251">
        <f t="shared" ref="AM50:AO50" si="200">SUM(AM46:AM49)</f>
        <v>2755500</v>
      </c>
      <c r="AN50" s="251">
        <f t="shared" si="200"/>
        <v>9645750</v>
      </c>
      <c r="AO50" s="251">
        <f t="shared" si="200"/>
        <v>12398250</v>
      </c>
      <c r="AP50" s="109"/>
      <c r="AQ50" s="109"/>
      <c r="AR50" s="251">
        <f t="shared" ref="AR50:AT50" si="201">SUM(AR46:AR49)</f>
        <v>2755500</v>
      </c>
      <c r="AS50" s="251">
        <f t="shared" si="201"/>
        <v>12401250</v>
      </c>
      <c r="AT50" s="251">
        <f t="shared" si="201"/>
        <v>9642750</v>
      </c>
      <c r="AU50" s="299"/>
      <c r="AV50" s="300">
        <f>SUM(AV46:AV49)</f>
        <v>2755500</v>
      </c>
      <c r="AW50" s="298">
        <f t="shared" ref="AW50:BH50" si="202">SUM(AW46:AW49)</f>
        <v>229625</v>
      </c>
      <c r="AX50" s="298">
        <f t="shared" si="202"/>
        <v>229625</v>
      </c>
      <c r="AY50" s="298">
        <f t="shared" si="202"/>
        <v>229625</v>
      </c>
      <c r="AZ50" s="298">
        <f t="shared" si="202"/>
        <v>229625</v>
      </c>
      <c r="BA50" s="298">
        <f t="shared" si="202"/>
        <v>229625</v>
      </c>
      <c r="BB50" s="298">
        <f t="shared" si="202"/>
        <v>229625</v>
      </c>
      <c r="BC50" s="298">
        <f t="shared" si="202"/>
        <v>229625</v>
      </c>
      <c r="BD50" s="298">
        <f t="shared" si="202"/>
        <v>229625</v>
      </c>
      <c r="BE50" s="298">
        <f t="shared" si="202"/>
        <v>229625</v>
      </c>
      <c r="BF50" s="298">
        <f t="shared" si="202"/>
        <v>229625</v>
      </c>
      <c r="BG50" s="298">
        <f t="shared" si="202"/>
        <v>229625</v>
      </c>
      <c r="BH50" s="298">
        <f t="shared" si="202"/>
        <v>229625</v>
      </c>
    </row>
    <row r="51" spans="2:60" s="11" customFormat="1" x14ac:dyDescent="0.2">
      <c r="B51" s="97"/>
      <c r="C51" s="98"/>
      <c r="D51" s="99"/>
      <c r="E51" s="100"/>
      <c r="F51" s="101"/>
      <c r="G51" s="102"/>
      <c r="H51" s="103"/>
      <c r="I51" s="103"/>
      <c r="J51" s="103"/>
      <c r="K51" s="103"/>
      <c r="L51" s="103"/>
      <c r="M51" s="103"/>
      <c r="N51" s="256"/>
      <c r="O51" s="104"/>
      <c r="P51" s="101"/>
      <c r="Q51" s="101"/>
      <c r="R51" s="105"/>
      <c r="S51" s="106"/>
      <c r="T51" s="107"/>
      <c r="U51" s="256"/>
      <c r="V51" s="109"/>
      <c r="W51" s="109"/>
      <c r="X51" s="256"/>
      <c r="Y51" s="256"/>
      <c r="Z51" s="256"/>
      <c r="AA51" s="109"/>
      <c r="AB51" s="109"/>
      <c r="AC51" s="256"/>
      <c r="AD51" s="256"/>
      <c r="AE51" s="256"/>
      <c r="AF51" s="109"/>
      <c r="AG51" s="109"/>
      <c r="AH51" s="256"/>
      <c r="AI51" s="256"/>
      <c r="AJ51" s="256"/>
      <c r="AK51" s="109"/>
      <c r="AL51" s="109"/>
      <c r="AM51" s="256"/>
      <c r="AN51" s="256"/>
      <c r="AO51" s="256"/>
      <c r="AP51" s="109"/>
      <c r="AQ51" s="109"/>
      <c r="AR51" s="256"/>
      <c r="AS51" s="256"/>
      <c r="AT51" s="256"/>
      <c r="AU51" s="293"/>
      <c r="AV51" s="291"/>
      <c r="AW51" s="255"/>
      <c r="AX51" s="255"/>
      <c r="AY51" s="255"/>
      <c r="AZ51" s="255"/>
      <c r="BA51" s="255"/>
      <c r="BB51" s="255"/>
      <c r="BC51" s="255"/>
      <c r="BD51" s="255"/>
      <c r="BE51" s="255"/>
      <c r="BF51" s="255"/>
      <c r="BG51" s="255"/>
      <c r="BH51" s="255"/>
    </row>
    <row r="52" spans="2:60" s="11" customFormat="1" x14ac:dyDescent="0.2">
      <c r="B52" s="97"/>
      <c r="C52" s="89">
        <v>44929</v>
      </c>
      <c r="D52" s="268" t="s">
        <v>390</v>
      </c>
      <c r="E52" s="71">
        <v>1</v>
      </c>
      <c r="F52" s="72" t="s">
        <v>395</v>
      </c>
      <c r="G52" s="261">
        <v>0.125</v>
      </c>
      <c r="H52" s="103"/>
      <c r="I52" s="103"/>
      <c r="J52" s="103"/>
      <c r="K52" s="103"/>
      <c r="L52" s="103"/>
      <c r="M52" s="103"/>
      <c r="N52" s="306">
        <v>1900000</v>
      </c>
      <c r="O52" s="263">
        <v>8</v>
      </c>
      <c r="P52" s="260">
        <v>96</v>
      </c>
      <c r="Q52" s="260">
        <v>1</v>
      </c>
      <c r="R52" s="264">
        <v>2023</v>
      </c>
      <c r="S52" s="265">
        <f t="shared" ref="S52:S53" si="203">IF(Q52=1, 12, Q52-1)</f>
        <v>12</v>
      </c>
      <c r="T52" s="266">
        <f t="shared" ref="T52:T53" si="204">IF(Q52=1,R52+O52-1,R52+O52)</f>
        <v>2030</v>
      </c>
      <c r="U52" s="96">
        <f t="shared" ref="U52:U53" si="205">N52/P52</f>
        <v>19791.666666666668</v>
      </c>
      <c r="V52" s="73">
        <v>0</v>
      </c>
      <c r="W52" s="73">
        <v>0</v>
      </c>
      <c r="X52" s="96">
        <v>0</v>
      </c>
      <c r="Y52" s="96">
        <v>0</v>
      </c>
      <c r="Z52" s="96">
        <v>0</v>
      </c>
      <c r="AA52" s="73">
        <f>IF(W52&gt;=U52-12,U52-W52,12)</f>
        <v>12</v>
      </c>
      <c r="AB52" s="73">
        <f t="shared" ref="AB52:AB53" si="206">+W52+AA52</f>
        <v>12</v>
      </c>
      <c r="AC52" s="96">
        <f t="shared" ref="AC52:AC57" si="207">AA52*U52</f>
        <v>237500</v>
      </c>
      <c r="AD52" s="96">
        <f t="shared" ref="AD52:AD53" si="208">Y52+AC52</f>
        <v>237500</v>
      </c>
      <c r="AE52" s="96">
        <f t="shared" ref="AE52:AE57" si="209">N52-AD52</f>
        <v>1662500</v>
      </c>
      <c r="AF52" s="73">
        <f t="shared" ref="AF52:AF57" si="210">IF(AB52&gt;=U52-12,U52-AB52,12)</f>
        <v>12</v>
      </c>
      <c r="AG52" s="73">
        <f t="shared" ref="AG52:AG57" si="211">+AB52+AF52</f>
        <v>24</v>
      </c>
      <c r="AH52" s="96">
        <f t="shared" ref="AH52:AH57" si="212">AF52*U52</f>
        <v>237500</v>
      </c>
      <c r="AI52" s="96">
        <f t="shared" ref="AI52:AI57" si="213">AD52+AH52</f>
        <v>475000</v>
      </c>
      <c r="AJ52" s="96">
        <f t="shared" ref="AJ52:AJ57" si="214">N52-AI52</f>
        <v>1425000</v>
      </c>
      <c r="AK52" s="73">
        <f t="shared" ref="AK52:AK57" si="215">IF(AG52&gt;=U52-12,U52-AG52,12)</f>
        <v>12</v>
      </c>
      <c r="AL52" s="73">
        <f t="shared" ref="AL52:AL57" si="216">+AG52+AK52</f>
        <v>36</v>
      </c>
      <c r="AM52" s="96">
        <f t="shared" ref="AM52:AM57" si="217">AK52*U52</f>
        <v>237500</v>
      </c>
      <c r="AN52" s="96">
        <f t="shared" ref="AN52:AN57" si="218">AI52+AM52</f>
        <v>712500</v>
      </c>
      <c r="AO52" s="96">
        <f t="shared" ref="AO52:AO57" si="219">N52-AN52</f>
        <v>1187500</v>
      </c>
      <c r="AP52" s="73">
        <f t="shared" ref="AP52:AP57" si="220">IF(AL52&gt;=U52-12,U52-AL52,12)</f>
        <v>12</v>
      </c>
      <c r="AQ52" s="73">
        <f t="shared" ref="AQ52:AQ57" si="221">+AL52+AP52</f>
        <v>48</v>
      </c>
      <c r="AR52" s="96">
        <f t="shared" ref="AR52:AR57" si="222">AP52*U52</f>
        <v>237500</v>
      </c>
      <c r="AS52" s="96">
        <f t="shared" ref="AS52:AS57" si="223">AN52+AR52</f>
        <v>950000</v>
      </c>
      <c r="AT52" s="96">
        <f t="shared" ref="AT52:AT57" si="224">N52-AS52</f>
        <v>950000</v>
      </c>
      <c r="AU52" s="286"/>
      <c r="AV52" s="202">
        <f t="shared" ref="AV52:AV53" si="225">SUM(AW52:BH52)</f>
        <v>237499.99999999997</v>
      </c>
      <c r="AW52" s="203">
        <f>+U52*1</f>
        <v>19791.666666666668</v>
      </c>
      <c r="AX52" s="203">
        <f>+U52*1</f>
        <v>19791.666666666668</v>
      </c>
      <c r="AY52" s="203">
        <f>+U52*1</f>
        <v>19791.666666666668</v>
      </c>
      <c r="AZ52" s="203">
        <f>+U52*1</f>
        <v>19791.666666666668</v>
      </c>
      <c r="BA52" s="203">
        <f>+U52*1</f>
        <v>19791.666666666668</v>
      </c>
      <c r="BB52" s="203">
        <f>+U52*1</f>
        <v>19791.666666666668</v>
      </c>
      <c r="BC52" s="203">
        <f>+U52*1</f>
        <v>19791.666666666668</v>
      </c>
      <c r="BD52" s="203">
        <f>+U52*1</f>
        <v>19791.666666666668</v>
      </c>
      <c r="BE52" s="203">
        <f>+U52*1</f>
        <v>19791.666666666668</v>
      </c>
      <c r="BF52" s="203">
        <f>+U52*1</f>
        <v>19791.666666666668</v>
      </c>
      <c r="BG52" s="203">
        <f>+U52*1</f>
        <v>19791.666666666668</v>
      </c>
      <c r="BH52" s="203">
        <f>+U52*1</f>
        <v>19791.666666666668</v>
      </c>
    </row>
    <row r="53" spans="2:60" s="11" customFormat="1" x14ac:dyDescent="0.2">
      <c r="B53" s="97"/>
      <c r="C53" s="89" t="s">
        <v>396</v>
      </c>
      <c r="D53" s="268" t="s">
        <v>393</v>
      </c>
      <c r="E53" s="71">
        <v>2</v>
      </c>
      <c r="F53" s="72" t="s">
        <v>394</v>
      </c>
      <c r="G53" s="261">
        <v>0.125</v>
      </c>
      <c r="H53" s="103"/>
      <c r="I53" s="103"/>
      <c r="J53" s="103"/>
      <c r="K53" s="103"/>
      <c r="L53" s="103"/>
      <c r="M53" s="103"/>
      <c r="N53" s="306">
        <f>650000+1900000</f>
        <v>2550000</v>
      </c>
      <c r="O53" s="263">
        <v>8</v>
      </c>
      <c r="P53" s="260">
        <v>96</v>
      </c>
      <c r="Q53" s="260">
        <v>2</v>
      </c>
      <c r="R53" s="264">
        <v>2023</v>
      </c>
      <c r="S53" s="265">
        <f t="shared" si="203"/>
        <v>1</v>
      </c>
      <c r="T53" s="266">
        <f t="shared" si="204"/>
        <v>2031</v>
      </c>
      <c r="U53" s="96">
        <f t="shared" si="205"/>
        <v>26562.5</v>
      </c>
      <c r="V53" s="73">
        <v>0</v>
      </c>
      <c r="W53" s="73">
        <v>0</v>
      </c>
      <c r="X53" s="96">
        <v>0</v>
      </c>
      <c r="Y53" s="96">
        <v>0</v>
      </c>
      <c r="Z53" s="96">
        <v>0</v>
      </c>
      <c r="AA53" s="73">
        <f>IF(W53&gt;=U53-11,U53-W53,11)</f>
        <v>11</v>
      </c>
      <c r="AB53" s="73">
        <f t="shared" si="206"/>
        <v>11</v>
      </c>
      <c r="AC53" s="96">
        <f t="shared" si="207"/>
        <v>292187.5</v>
      </c>
      <c r="AD53" s="96">
        <f t="shared" si="208"/>
        <v>292187.5</v>
      </c>
      <c r="AE53" s="96">
        <f t="shared" si="209"/>
        <v>2257812.5</v>
      </c>
      <c r="AF53" s="73">
        <f t="shared" si="210"/>
        <v>12</v>
      </c>
      <c r="AG53" s="73">
        <f t="shared" si="211"/>
        <v>23</v>
      </c>
      <c r="AH53" s="96">
        <f t="shared" si="212"/>
        <v>318750</v>
      </c>
      <c r="AI53" s="96">
        <f t="shared" si="213"/>
        <v>610937.5</v>
      </c>
      <c r="AJ53" s="96">
        <f t="shared" si="214"/>
        <v>1939062.5</v>
      </c>
      <c r="AK53" s="73">
        <f t="shared" si="215"/>
        <v>12</v>
      </c>
      <c r="AL53" s="73">
        <f t="shared" si="216"/>
        <v>35</v>
      </c>
      <c r="AM53" s="96">
        <f t="shared" si="217"/>
        <v>318750</v>
      </c>
      <c r="AN53" s="96">
        <f t="shared" si="218"/>
        <v>929687.5</v>
      </c>
      <c r="AO53" s="96">
        <f t="shared" si="219"/>
        <v>1620312.5</v>
      </c>
      <c r="AP53" s="73">
        <f t="shared" si="220"/>
        <v>12</v>
      </c>
      <c r="AQ53" s="73">
        <f t="shared" si="221"/>
        <v>47</v>
      </c>
      <c r="AR53" s="96">
        <f t="shared" si="222"/>
        <v>318750</v>
      </c>
      <c r="AS53" s="96">
        <f t="shared" si="223"/>
        <v>1248437.5</v>
      </c>
      <c r="AT53" s="96">
        <f t="shared" si="224"/>
        <v>1301562.5</v>
      </c>
      <c r="AU53" s="286"/>
      <c r="AV53" s="202">
        <f t="shared" si="225"/>
        <v>318750</v>
      </c>
      <c r="AW53" s="203">
        <f t="shared" ref="AW53:AW57" si="226">+U53*1</f>
        <v>26562.5</v>
      </c>
      <c r="AX53" s="203">
        <f t="shared" ref="AX53:AX57" si="227">+U53*1</f>
        <v>26562.5</v>
      </c>
      <c r="AY53" s="203">
        <f t="shared" ref="AY53:AY57" si="228">+U53*1</f>
        <v>26562.5</v>
      </c>
      <c r="AZ53" s="203">
        <f t="shared" ref="AZ53:AZ57" si="229">+U53*1</f>
        <v>26562.5</v>
      </c>
      <c r="BA53" s="203">
        <f t="shared" ref="BA53:BA57" si="230">+U53*1</f>
        <v>26562.5</v>
      </c>
      <c r="BB53" s="203">
        <f t="shared" ref="BB53:BB57" si="231">+U53*1</f>
        <v>26562.5</v>
      </c>
      <c r="BC53" s="203">
        <f t="shared" ref="BC53:BC57" si="232">+U53*1</f>
        <v>26562.5</v>
      </c>
      <c r="BD53" s="203">
        <f t="shared" ref="BD53:BD57" si="233">+U53*1</f>
        <v>26562.5</v>
      </c>
      <c r="BE53" s="203">
        <f t="shared" ref="BE53:BE57" si="234">+U53*1</f>
        <v>26562.5</v>
      </c>
      <c r="BF53" s="203">
        <f t="shared" ref="BF53:BF57" si="235">+U53*1</f>
        <v>26562.5</v>
      </c>
      <c r="BG53" s="203">
        <f t="shared" ref="BG53:BG57" si="236">+U53*1</f>
        <v>26562.5</v>
      </c>
      <c r="BH53" s="203">
        <f t="shared" ref="BH53:BH57" si="237">+U53*1</f>
        <v>26562.5</v>
      </c>
    </row>
    <row r="54" spans="2:60" s="11" customFormat="1" x14ac:dyDescent="0.2">
      <c r="B54" s="97"/>
      <c r="C54" s="89" t="s">
        <v>401</v>
      </c>
      <c r="D54" s="268" t="s">
        <v>402</v>
      </c>
      <c r="E54" s="71">
        <v>2</v>
      </c>
      <c r="F54" s="72" t="s">
        <v>403</v>
      </c>
      <c r="G54" s="261">
        <v>0.125</v>
      </c>
      <c r="H54" s="103"/>
      <c r="I54" s="103"/>
      <c r="J54" s="103"/>
      <c r="K54" s="103"/>
      <c r="L54" s="103"/>
      <c r="M54" s="103"/>
      <c r="N54" s="306">
        <v>1081081.08</v>
      </c>
      <c r="O54" s="263">
        <v>8</v>
      </c>
      <c r="P54" s="260">
        <v>96</v>
      </c>
      <c r="Q54" s="260">
        <v>5</v>
      </c>
      <c r="R54" s="264">
        <v>2023</v>
      </c>
      <c r="S54" s="265">
        <f t="shared" ref="S54" si="238">IF(Q54=1, 12, Q54-1)</f>
        <v>4</v>
      </c>
      <c r="T54" s="266">
        <f t="shared" ref="T54" si="239">IF(Q54=1,R54+O54-1,R54+O54)</f>
        <v>2031</v>
      </c>
      <c r="U54" s="96">
        <f t="shared" ref="U54" si="240">N54/P54</f>
        <v>11261.261250000001</v>
      </c>
      <c r="V54" s="73">
        <v>0</v>
      </c>
      <c r="W54" s="73">
        <v>0</v>
      </c>
      <c r="X54" s="96">
        <v>0</v>
      </c>
      <c r="Y54" s="96">
        <v>0</v>
      </c>
      <c r="Z54" s="96">
        <v>0</v>
      </c>
      <c r="AA54" s="73">
        <f>IF(W54&gt;=U54-8,U54-W54,8)</f>
        <v>8</v>
      </c>
      <c r="AB54" s="73">
        <f t="shared" ref="AB54" si="241">+W54+AA54</f>
        <v>8</v>
      </c>
      <c r="AC54" s="96">
        <f t="shared" si="207"/>
        <v>90090.090000000011</v>
      </c>
      <c r="AD54" s="96">
        <f t="shared" ref="AD54" si="242">Y54+AC54</f>
        <v>90090.090000000011</v>
      </c>
      <c r="AE54" s="96">
        <f t="shared" si="209"/>
        <v>990990.99000000011</v>
      </c>
      <c r="AF54" s="73">
        <f t="shared" si="210"/>
        <v>12</v>
      </c>
      <c r="AG54" s="73">
        <f t="shared" si="211"/>
        <v>20</v>
      </c>
      <c r="AH54" s="96">
        <f t="shared" si="212"/>
        <v>135135.13500000001</v>
      </c>
      <c r="AI54" s="96">
        <f t="shared" si="213"/>
        <v>225225.22500000003</v>
      </c>
      <c r="AJ54" s="96">
        <f t="shared" si="214"/>
        <v>855855.85499999998</v>
      </c>
      <c r="AK54" s="73">
        <f t="shared" si="215"/>
        <v>12</v>
      </c>
      <c r="AL54" s="73">
        <f t="shared" si="216"/>
        <v>32</v>
      </c>
      <c r="AM54" s="96">
        <f t="shared" si="217"/>
        <v>135135.13500000001</v>
      </c>
      <c r="AN54" s="96">
        <f t="shared" si="218"/>
        <v>360360.36000000004</v>
      </c>
      <c r="AO54" s="96">
        <f t="shared" si="219"/>
        <v>720720.72</v>
      </c>
      <c r="AP54" s="73">
        <f t="shared" si="220"/>
        <v>12</v>
      </c>
      <c r="AQ54" s="73">
        <f t="shared" si="221"/>
        <v>44</v>
      </c>
      <c r="AR54" s="96">
        <f t="shared" si="222"/>
        <v>135135.13500000001</v>
      </c>
      <c r="AS54" s="96">
        <f t="shared" si="223"/>
        <v>495495.49500000005</v>
      </c>
      <c r="AT54" s="96">
        <f t="shared" si="224"/>
        <v>585585.58499999996</v>
      </c>
      <c r="AU54" s="286"/>
      <c r="AV54" s="202">
        <f t="shared" ref="AV54" si="243">SUM(AW54:BH54)</f>
        <v>135135.13499999998</v>
      </c>
      <c r="AW54" s="203">
        <f t="shared" si="226"/>
        <v>11261.261250000001</v>
      </c>
      <c r="AX54" s="203">
        <f t="shared" si="227"/>
        <v>11261.261250000001</v>
      </c>
      <c r="AY54" s="203">
        <f t="shared" si="228"/>
        <v>11261.261250000001</v>
      </c>
      <c r="AZ54" s="203">
        <f t="shared" si="229"/>
        <v>11261.261250000001</v>
      </c>
      <c r="BA54" s="203">
        <f t="shared" si="230"/>
        <v>11261.261250000001</v>
      </c>
      <c r="BB54" s="203">
        <f t="shared" si="231"/>
        <v>11261.261250000001</v>
      </c>
      <c r="BC54" s="203">
        <f t="shared" si="232"/>
        <v>11261.261250000001</v>
      </c>
      <c r="BD54" s="203">
        <f t="shared" si="233"/>
        <v>11261.261250000001</v>
      </c>
      <c r="BE54" s="203">
        <f t="shared" si="234"/>
        <v>11261.261250000001</v>
      </c>
      <c r="BF54" s="203">
        <f t="shared" si="235"/>
        <v>11261.261250000001</v>
      </c>
      <c r="BG54" s="203">
        <f t="shared" si="236"/>
        <v>11261.261250000001</v>
      </c>
      <c r="BH54" s="203">
        <f t="shared" si="237"/>
        <v>11261.261250000001</v>
      </c>
    </row>
    <row r="55" spans="2:60" s="11" customFormat="1" x14ac:dyDescent="0.2">
      <c r="B55" s="97"/>
      <c r="C55" s="89">
        <v>45112</v>
      </c>
      <c r="D55" s="70" t="s">
        <v>415</v>
      </c>
      <c r="E55" s="71">
        <v>8</v>
      </c>
      <c r="F55" s="72" t="s">
        <v>417</v>
      </c>
      <c r="G55" s="261">
        <v>0.125</v>
      </c>
      <c r="H55" s="103"/>
      <c r="I55" s="103"/>
      <c r="J55" s="103"/>
      <c r="K55" s="103"/>
      <c r="L55" s="103"/>
      <c r="M55" s="103"/>
      <c r="N55" s="306">
        <v>23200000</v>
      </c>
      <c r="O55" s="263">
        <v>8</v>
      </c>
      <c r="P55" s="260">
        <v>96</v>
      </c>
      <c r="Q55" s="260">
        <v>7</v>
      </c>
      <c r="R55" s="264">
        <v>2023</v>
      </c>
      <c r="S55" s="265">
        <f t="shared" ref="S55:S56" si="244">IF(Q55=1, 12, Q55-1)</f>
        <v>6</v>
      </c>
      <c r="T55" s="266">
        <f t="shared" ref="T55:T56" si="245">IF(Q55=1,R55+O55-1,R55+O55)</f>
        <v>2031</v>
      </c>
      <c r="U55" s="96">
        <f t="shared" ref="U55:U56" si="246">N55/P55</f>
        <v>241666.66666666666</v>
      </c>
      <c r="V55" s="73">
        <v>0</v>
      </c>
      <c r="W55" s="73">
        <v>0</v>
      </c>
      <c r="X55" s="96">
        <v>0</v>
      </c>
      <c r="Y55" s="96">
        <v>0</v>
      </c>
      <c r="Z55" s="96">
        <v>0</v>
      </c>
      <c r="AA55" s="73">
        <f>IF(W55&gt;=U55-6,U55-W55,6)</f>
        <v>6</v>
      </c>
      <c r="AB55" s="73">
        <f t="shared" ref="AB55:AB56" si="247">+W55+AA55</f>
        <v>6</v>
      </c>
      <c r="AC55" s="96">
        <f t="shared" si="207"/>
        <v>1450000</v>
      </c>
      <c r="AD55" s="96">
        <f t="shared" ref="AD55:AD56" si="248">Y55+AC55</f>
        <v>1450000</v>
      </c>
      <c r="AE55" s="96">
        <f t="shared" si="209"/>
        <v>21750000</v>
      </c>
      <c r="AF55" s="73">
        <f t="shared" si="210"/>
        <v>12</v>
      </c>
      <c r="AG55" s="73">
        <f t="shared" si="211"/>
        <v>18</v>
      </c>
      <c r="AH55" s="96">
        <f t="shared" si="212"/>
        <v>2900000</v>
      </c>
      <c r="AI55" s="96">
        <f t="shared" si="213"/>
        <v>4350000</v>
      </c>
      <c r="AJ55" s="96">
        <f t="shared" si="214"/>
        <v>18850000</v>
      </c>
      <c r="AK55" s="73">
        <f t="shared" si="215"/>
        <v>12</v>
      </c>
      <c r="AL55" s="73">
        <f t="shared" si="216"/>
        <v>30</v>
      </c>
      <c r="AM55" s="96">
        <f t="shared" si="217"/>
        <v>2900000</v>
      </c>
      <c r="AN55" s="96">
        <f t="shared" si="218"/>
        <v>7250000</v>
      </c>
      <c r="AO55" s="96">
        <f t="shared" si="219"/>
        <v>15950000</v>
      </c>
      <c r="AP55" s="73">
        <f t="shared" si="220"/>
        <v>12</v>
      </c>
      <c r="AQ55" s="73">
        <f t="shared" si="221"/>
        <v>42</v>
      </c>
      <c r="AR55" s="96">
        <f t="shared" si="222"/>
        <v>2900000</v>
      </c>
      <c r="AS55" s="96">
        <f t="shared" si="223"/>
        <v>10150000</v>
      </c>
      <c r="AT55" s="96">
        <f t="shared" si="224"/>
        <v>13050000</v>
      </c>
      <c r="AU55" s="286"/>
      <c r="AV55" s="202">
        <f t="shared" ref="AV55:AV56" si="249">SUM(AW55:BH55)</f>
        <v>2899999.9999999995</v>
      </c>
      <c r="AW55" s="203">
        <f t="shared" si="226"/>
        <v>241666.66666666666</v>
      </c>
      <c r="AX55" s="203">
        <f t="shared" si="227"/>
        <v>241666.66666666666</v>
      </c>
      <c r="AY55" s="203">
        <f t="shared" si="228"/>
        <v>241666.66666666666</v>
      </c>
      <c r="AZ55" s="203">
        <f t="shared" si="229"/>
        <v>241666.66666666666</v>
      </c>
      <c r="BA55" s="203">
        <f t="shared" si="230"/>
        <v>241666.66666666666</v>
      </c>
      <c r="BB55" s="203">
        <f t="shared" si="231"/>
        <v>241666.66666666666</v>
      </c>
      <c r="BC55" s="203">
        <f t="shared" si="232"/>
        <v>241666.66666666666</v>
      </c>
      <c r="BD55" s="203">
        <f t="shared" si="233"/>
        <v>241666.66666666666</v>
      </c>
      <c r="BE55" s="203">
        <f t="shared" si="234"/>
        <v>241666.66666666666</v>
      </c>
      <c r="BF55" s="203">
        <f t="shared" si="235"/>
        <v>241666.66666666666</v>
      </c>
      <c r="BG55" s="203">
        <f t="shared" si="236"/>
        <v>241666.66666666666</v>
      </c>
      <c r="BH55" s="203">
        <f t="shared" si="237"/>
        <v>241666.66666666666</v>
      </c>
    </row>
    <row r="56" spans="2:60" s="11" customFormat="1" x14ac:dyDescent="0.2">
      <c r="B56" s="97"/>
      <c r="C56" s="89">
        <v>45134</v>
      </c>
      <c r="D56" s="70" t="s">
        <v>416</v>
      </c>
      <c r="E56" s="71">
        <v>1</v>
      </c>
      <c r="F56" s="72" t="s">
        <v>418</v>
      </c>
      <c r="G56" s="261">
        <v>0.125</v>
      </c>
      <c r="H56" s="103"/>
      <c r="I56" s="103"/>
      <c r="J56" s="103"/>
      <c r="K56" s="103"/>
      <c r="L56" s="103"/>
      <c r="M56" s="103"/>
      <c r="N56" s="306">
        <v>4850000</v>
      </c>
      <c r="O56" s="263">
        <v>8</v>
      </c>
      <c r="P56" s="260">
        <v>96</v>
      </c>
      <c r="Q56" s="260">
        <v>7</v>
      </c>
      <c r="R56" s="264">
        <v>2023</v>
      </c>
      <c r="S56" s="265">
        <f t="shared" si="244"/>
        <v>6</v>
      </c>
      <c r="T56" s="266">
        <f t="shared" si="245"/>
        <v>2031</v>
      </c>
      <c r="U56" s="96">
        <f t="shared" si="246"/>
        <v>50520.833333333336</v>
      </c>
      <c r="V56" s="73">
        <v>0</v>
      </c>
      <c r="W56" s="73">
        <v>0</v>
      </c>
      <c r="X56" s="96">
        <v>0</v>
      </c>
      <c r="Y56" s="96">
        <v>0</v>
      </c>
      <c r="Z56" s="96">
        <v>0</v>
      </c>
      <c r="AA56" s="73">
        <f>IF(W56&gt;=U56-6,U56-W56,6)</f>
        <v>6</v>
      </c>
      <c r="AB56" s="73">
        <f t="shared" si="247"/>
        <v>6</v>
      </c>
      <c r="AC56" s="96">
        <f t="shared" si="207"/>
        <v>303125</v>
      </c>
      <c r="AD56" s="96">
        <f t="shared" si="248"/>
        <v>303125</v>
      </c>
      <c r="AE56" s="96">
        <f t="shared" si="209"/>
        <v>4546875</v>
      </c>
      <c r="AF56" s="73">
        <f t="shared" si="210"/>
        <v>12</v>
      </c>
      <c r="AG56" s="73">
        <f t="shared" si="211"/>
        <v>18</v>
      </c>
      <c r="AH56" s="96">
        <f t="shared" si="212"/>
        <v>606250</v>
      </c>
      <c r="AI56" s="96">
        <f t="shared" si="213"/>
        <v>909375</v>
      </c>
      <c r="AJ56" s="96">
        <f t="shared" si="214"/>
        <v>3940625</v>
      </c>
      <c r="AK56" s="73">
        <f t="shared" si="215"/>
        <v>12</v>
      </c>
      <c r="AL56" s="73">
        <f t="shared" si="216"/>
        <v>30</v>
      </c>
      <c r="AM56" s="96">
        <f t="shared" si="217"/>
        <v>606250</v>
      </c>
      <c r="AN56" s="96">
        <f t="shared" si="218"/>
        <v>1515625</v>
      </c>
      <c r="AO56" s="96">
        <f t="shared" si="219"/>
        <v>3334375</v>
      </c>
      <c r="AP56" s="73">
        <f t="shared" si="220"/>
        <v>12</v>
      </c>
      <c r="AQ56" s="73">
        <f t="shared" si="221"/>
        <v>42</v>
      </c>
      <c r="AR56" s="96">
        <f t="shared" si="222"/>
        <v>606250</v>
      </c>
      <c r="AS56" s="96">
        <f t="shared" si="223"/>
        <v>2121875</v>
      </c>
      <c r="AT56" s="96">
        <f t="shared" si="224"/>
        <v>2728125</v>
      </c>
      <c r="AU56" s="286"/>
      <c r="AV56" s="202">
        <f t="shared" si="249"/>
        <v>606250</v>
      </c>
      <c r="AW56" s="203">
        <f t="shared" si="226"/>
        <v>50520.833333333336</v>
      </c>
      <c r="AX56" s="203">
        <f t="shared" si="227"/>
        <v>50520.833333333336</v>
      </c>
      <c r="AY56" s="203">
        <f t="shared" si="228"/>
        <v>50520.833333333336</v>
      </c>
      <c r="AZ56" s="203">
        <f t="shared" si="229"/>
        <v>50520.833333333336</v>
      </c>
      <c r="BA56" s="203">
        <f t="shared" si="230"/>
        <v>50520.833333333336</v>
      </c>
      <c r="BB56" s="203">
        <f t="shared" si="231"/>
        <v>50520.833333333336</v>
      </c>
      <c r="BC56" s="203">
        <f t="shared" si="232"/>
        <v>50520.833333333336</v>
      </c>
      <c r="BD56" s="203">
        <f t="shared" si="233"/>
        <v>50520.833333333336</v>
      </c>
      <c r="BE56" s="203">
        <f t="shared" si="234"/>
        <v>50520.833333333336</v>
      </c>
      <c r="BF56" s="203">
        <f t="shared" si="235"/>
        <v>50520.833333333336</v>
      </c>
      <c r="BG56" s="203">
        <f t="shared" si="236"/>
        <v>50520.833333333336</v>
      </c>
      <c r="BH56" s="203">
        <f t="shared" si="237"/>
        <v>50520.833333333336</v>
      </c>
    </row>
    <row r="57" spans="2:60" s="11" customFormat="1" x14ac:dyDescent="0.2">
      <c r="B57" s="97"/>
      <c r="C57" s="89">
        <v>45210</v>
      </c>
      <c r="D57" s="70" t="s">
        <v>422</v>
      </c>
      <c r="E57" s="71">
        <v>1</v>
      </c>
      <c r="F57" s="72" t="s">
        <v>423</v>
      </c>
      <c r="G57" s="261">
        <v>0.125</v>
      </c>
      <c r="H57" s="103"/>
      <c r="I57" s="103"/>
      <c r="J57" s="103"/>
      <c r="K57" s="103"/>
      <c r="L57" s="103"/>
      <c r="M57" s="103"/>
      <c r="N57" s="306">
        <v>1000000</v>
      </c>
      <c r="O57" s="263">
        <v>8</v>
      </c>
      <c r="P57" s="260">
        <v>96</v>
      </c>
      <c r="Q57" s="260">
        <v>10</v>
      </c>
      <c r="R57" s="264">
        <v>2023</v>
      </c>
      <c r="S57" s="265">
        <f t="shared" ref="S57" si="250">IF(Q57=1, 12, Q57-1)</f>
        <v>9</v>
      </c>
      <c r="T57" s="266">
        <f t="shared" ref="T57" si="251">IF(Q57=1,R57+O57-1,R57+O57)</f>
        <v>2031</v>
      </c>
      <c r="U57" s="96">
        <f t="shared" ref="U57" si="252">N57/P57</f>
        <v>10416.666666666666</v>
      </c>
      <c r="V57" s="73">
        <v>0</v>
      </c>
      <c r="W57" s="73">
        <v>0</v>
      </c>
      <c r="X57" s="96">
        <v>0</v>
      </c>
      <c r="Y57" s="96">
        <v>0</v>
      </c>
      <c r="Z57" s="96">
        <v>0</v>
      </c>
      <c r="AA57" s="73">
        <f>IF(W57&gt;=U57-3,U57-W57,3)</f>
        <v>3</v>
      </c>
      <c r="AB57" s="73">
        <f t="shared" ref="AB57" si="253">+W57+AA57</f>
        <v>3</v>
      </c>
      <c r="AC57" s="96">
        <f t="shared" si="207"/>
        <v>31250</v>
      </c>
      <c r="AD57" s="96">
        <f t="shared" ref="AD57" si="254">Y57+AC57</f>
        <v>31250</v>
      </c>
      <c r="AE57" s="96">
        <f t="shared" si="209"/>
        <v>968750</v>
      </c>
      <c r="AF57" s="73">
        <f t="shared" si="210"/>
        <v>12</v>
      </c>
      <c r="AG57" s="73">
        <f t="shared" si="211"/>
        <v>15</v>
      </c>
      <c r="AH57" s="96">
        <f t="shared" si="212"/>
        <v>125000</v>
      </c>
      <c r="AI57" s="96">
        <f t="shared" si="213"/>
        <v>156250</v>
      </c>
      <c r="AJ57" s="96">
        <f t="shared" si="214"/>
        <v>843750</v>
      </c>
      <c r="AK57" s="73">
        <f t="shared" si="215"/>
        <v>12</v>
      </c>
      <c r="AL57" s="73">
        <f t="shared" si="216"/>
        <v>27</v>
      </c>
      <c r="AM57" s="96">
        <f t="shared" si="217"/>
        <v>125000</v>
      </c>
      <c r="AN57" s="96">
        <f t="shared" si="218"/>
        <v>281250</v>
      </c>
      <c r="AO57" s="96">
        <f t="shared" si="219"/>
        <v>718750</v>
      </c>
      <c r="AP57" s="73">
        <f t="shared" si="220"/>
        <v>12</v>
      </c>
      <c r="AQ57" s="73">
        <f t="shared" si="221"/>
        <v>39</v>
      </c>
      <c r="AR57" s="96">
        <f t="shared" si="222"/>
        <v>125000</v>
      </c>
      <c r="AS57" s="96">
        <f t="shared" si="223"/>
        <v>406250</v>
      </c>
      <c r="AT57" s="96">
        <f t="shared" si="224"/>
        <v>593750</v>
      </c>
      <c r="AU57" s="286"/>
      <c r="AV57" s="202">
        <f t="shared" ref="AV57" si="255">SUM(AW57:BH57)</f>
        <v>125000.00000000001</v>
      </c>
      <c r="AW57" s="203">
        <f t="shared" si="226"/>
        <v>10416.666666666666</v>
      </c>
      <c r="AX57" s="203">
        <f t="shared" si="227"/>
        <v>10416.666666666666</v>
      </c>
      <c r="AY57" s="203">
        <f t="shared" si="228"/>
        <v>10416.666666666666</v>
      </c>
      <c r="AZ57" s="203">
        <f t="shared" si="229"/>
        <v>10416.666666666666</v>
      </c>
      <c r="BA57" s="203">
        <f t="shared" si="230"/>
        <v>10416.666666666666</v>
      </c>
      <c r="BB57" s="203">
        <f t="shared" si="231"/>
        <v>10416.666666666666</v>
      </c>
      <c r="BC57" s="203">
        <f t="shared" si="232"/>
        <v>10416.666666666666</v>
      </c>
      <c r="BD57" s="203">
        <f t="shared" si="233"/>
        <v>10416.666666666666</v>
      </c>
      <c r="BE57" s="203">
        <f t="shared" si="234"/>
        <v>10416.666666666666</v>
      </c>
      <c r="BF57" s="203">
        <f t="shared" si="235"/>
        <v>10416.666666666666</v>
      </c>
      <c r="BG57" s="203">
        <f t="shared" si="236"/>
        <v>10416.666666666666</v>
      </c>
      <c r="BH57" s="203">
        <f t="shared" si="237"/>
        <v>10416.666666666666</v>
      </c>
    </row>
    <row r="58" spans="2:60" s="11" customFormat="1" x14ac:dyDescent="0.2">
      <c r="B58" s="97"/>
      <c r="C58" s="89"/>
      <c r="D58" s="268"/>
      <c r="E58" s="71"/>
      <c r="F58" s="72"/>
      <c r="G58" s="102"/>
      <c r="H58" s="103"/>
      <c r="I58" s="103"/>
      <c r="J58" s="103"/>
      <c r="K58" s="103"/>
      <c r="L58" s="103"/>
      <c r="M58" s="103"/>
      <c r="N58" s="312"/>
      <c r="O58" s="104"/>
      <c r="P58" s="101"/>
      <c r="Q58" s="101"/>
      <c r="R58" s="105"/>
      <c r="S58" s="106"/>
      <c r="T58" s="107"/>
      <c r="U58" s="256"/>
      <c r="V58" s="109"/>
      <c r="W58" s="109"/>
      <c r="X58" s="103"/>
      <c r="Y58" s="103"/>
      <c r="Z58" s="103"/>
      <c r="AA58" s="109"/>
      <c r="AB58" s="109"/>
      <c r="AC58" s="103"/>
      <c r="AD58" s="103"/>
      <c r="AE58" s="103"/>
      <c r="AF58" s="109"/>
      <c r="AG58" s="109"/>
      <c r="AH58" s="103"/>
      <c r="AI58" s="103"/>
      <c r="AJ58" s="103"/>
      <c r="AK58" s="109"/>
      <c r="AL58" s="109"/>
      <c r="AM58" s="103"/>
      <c r="AN58" s="103"/>
      <c r="AO58" s="103"/>
      <c r="AP58" s="109"/>
      <c r="AQ58" s="109"/>
      <c r="AR58" s="103"/>
      <c r="AS58" s="103"/>
      <c r="AT58" s="103"/>
      <c r="AU58" s="288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</row>
    <row r="59" spans="2:60" s="11" customFormat="1" x14ac:dyDescent="0.2">
      <c r="B59" s="97"/>
      <c r="C59" s="89"/>
      <c r="D59" s="268"/>
      <c r="E59" s="71"/>
      <c r="F59" s="72"/>
      <c r="G59" s="102"/>
      <c r="H59" s="103"/>
      <c r="I59" s="103"/>
      <c r="J59" s="103"/>
      <c r="K59" s="103"/>
      <c r="L59" s="103"/>
      <c r="M59" s="103"/>
      <c r="N59" s="159">
        <f>SUM(N52:N58)</f>
        <v>34581081.079999998</v>
      </c>
      <c r="O59" s="104"/>
      <c r="P59" s="101"/>
      <c r="Q59" s="101"/>
      <c r="R59" s="105"/>
      <c r="S59" s="106"/>
      <c r="T59" s="107"/>
      <c r="U59" s="159">
        <f>SUM(U52:U58)</f>
        <v>360219.59458333335</v>
      </c>
      <c r="V59" s="109"/>
      <c r="W59" s="109"/>
      <c r="X59" s="159">
        <f t="shared" ref="X59:Z59" si="256">SUM(X52:X58)</f>
        <v>0</v>
      </c>
      <c r="Y59" s="159">
        <f t="shared" si="256"/>
        <v>0</v>
      </c>
      <c r="Z59" s="159">
        <f t="shared" si="256"/>
        <v>0</v>
      </c>
      <c r="AA59" s="109"/>
      <c r="AB59" s="109"/>
      <c r="AC59" s="159">
        <f t="shared" ref="AC59" si="257">SUM(AC52:AC58)</f>
        <v>2404152.59</v>
      </c>
      <c r="AD59" s="159">
        <f t="shared" ref="AD59" si="258">SUM(AD52:AD58)</f>
        <v>2404152.59</v>
      </c>
      <c r="AE59" s="159">
        <f t="shared" ref="AE59" si="259">SUM(AE52:AE58)</f>
        <v>32176928.490000002</v>
      </c>
      <c r="AF59" s="109"/>
      <c r="AG59" s="109"/>
      <c r="AH59" s="159">
        <f t="shared" ref="AH59:AJ59" si="260">SUM(AH52:AH58)</f>
        <v>4322635.1349999998</v>
      </c>
      <c r="AI59" s="159">
        <f t="shared" si="260"/>
        <v>6726787.7249999996</v>
      </c>
      <c r="AJ59" s="159">
        <f t="shared" si="260"/>
        <v>27854293.355</v>
      </c>
      <c r="AK59" s="109"/>
      <c r="AL59" s="109"/>
      <c r="AM59" s="159">
        <f t="shared" ref="AM59:AO59" si="261">SUM(AM52:AM58)</f>
        <v>4322635.1349999998</v>
      </c>
      <c r="AN59" s="159">
        <f t="shared" si="261"/>
        <v>11049422.859999999</v>
      </c>
      <c r="AO59" s="159">
        <f t="shared" si="261"/>
        <v>23531658.219999999</v>
      </c>
      <c r="AP59" s="109"/>
      <c r="AQ59" s="109"/>
      <c r="AR59" s="159">
        <f t="shared" ref="AR59:AT59" si="262">SUM(AR52:AR58)</f>
        <v>4322635.1349999998</v>
      </c>
      <c r="AS59" s="159">
        <f t="shared" si="262"/>
        <v>15372057.995000001</v>
      </c>
      <c r="AT59" s="159">
        <f t="shared" si="262"/>
        <v>19209023.085000001</v>
      </c>
      <c r="AU59" s="288"/>
      <c r="AV59" s="159">
        <f t="shared" ref="AV59" si="263">SUM(AV52:AV58)</f>
        <v>4322635.1349999998</v>
      </c>
      <c r="AW59" s="159">
        <f t="shared" ref="AW59" si="264">SUM(AW52:AW58)</f>
        <v>360219.59458333335</v>
      </c>
      <c r="AX59" s="159">
        <f t="shared" ref="AX59" si="265">SUM(AX52:AX58)</f>
        <v>360219.59458333335</v>
      </c>
      <c r="AY59" s="159">
        <f t="shared" ref="AY59" si="266">SUM(AY52:AY58)</f>
        <v>360219.59458333335</v>
      </c>
      <c r="AZ59" s="159">
        <f t="shared" ref="AZ59" si="267">SUM(AZ52:AZ58)</f>
        <v>360219.59458333335</v>
      </c>
      <c r="BA59" s="159">
        <f t="shared" ref="BA59" si="268">SUM(BA52:BA58)</f>
        <v>360219.59458333335</v>
      </c>
      <c r="BB59" s="159">
        <f t="shared" ref="BB59" si="269">SUM(BB52:BB58)</f>
        <v>360219.59458333335</v>
      </c>
      <c r="BC59" s="159">
        <f t="shared" ref="BC59" si="270">SUM(BC52:BC58)</f>
        <v>360219.59458333335</v>
      </c>
      <c r="BD59" s="159">
        <f t="shared" ref="BD59" si="271">SUM(BD52:BD58)</f>
        <v>360219.59458333335</v>
      </c>
      <c r="BE59" s="159">
        <f t="shared" ref="BE59" si="272">SUM(BE52:BE58)</f>
        <v>360219.59458333335</v>
      </c>
      <c r="BF59" s="159">
        <f t="shared" ref="BF59" si="273">SUM(BF52:BF58)</f>
        <v>360219.59458333335</v>
      </c>
      <c r="BG59" s="159">
        <f t="shared" ref="BG59" si="274">SUM(BG52:BG58)</f>
        <v>360219.59458333335</v>
      </c>
      <c r="BH59" s="159">
        <f t="shared" ref="BH59" si="275">SUM(BH52:BH58)</f>
        <v>360219.59458333335</v>
      </c>
    </row>
    <row r="60" spans="2:60" s="11" customFormat="1" x14ac:dyDescent="0.2">
      <c r="B60" s="97"/>
      <c r="C60" s="89"/>
      <c r="D60" s="268"/>
      <c r="E60" s="71"/>
      <c r="F60" s="72"/>
      <c r="G60" s="102"/>
      <c r="H60" s="103"/>
      <c r="I60" s="103"/>
      <c r="J60" s="103"/>
      <c r="K60" s="103"/>
      <c r="L60" s="103"/>
      <c r="M60" s="103"/>
      <c r="N60" s="256"/>
      <c r="O60" s="104"/>
      <c r="P60" s="101"/>
      <c r="Q60" s="101"/>
      <c r="R60" s="105"/>
      <c r="S60" s="106"/>
      <c r="T60" s="107"/>
      <c r="U60" s="256"/>
      <c r="V60" s="109"/>
      <c r="W60" s="109"/>
      <c r="X60" s="256"/>
      <c r="Y60" s="256"/>
      <c r="Z60" s="256"/>
      <c r="AA60" s="109"/>
      <c r="AB60" s="109"/>
      <c r="AC60" s="256"/>
      <c r="AD60" s="256"/>
      <c r="AE60" s="256"/>
      <c r="AF60" s="109"/>
      <c r="AG60" s="109"/>
      <c r="AH60" s="256"/>
      <c r="AI60" s="256"/>
      <c r="AJ60" s="256"/>
      <c r="AK60" s="109"/>
      <c r="AL60" s="109"/>
      <c r="AM60" s="256"/>
      <c r="AN60" s="256"/>
      <c r="AO60" s="256"/>
      <c r="AP60" s="109"/>
      <c r="AQ60" s="109"/>
      <c r="AR60" s="256"/>
      <c r="AS60" s="256"/>
      <c r="AT60" s="256"/>
      <c r="AU60" s="288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</row>
    <row r="61" spans="2:60" s="11" customFormat="1" x14ac:dyDescent="0.2">
      <c r="B61" s="97"/>
      <c r="C61" s="89">
        <v>45475</v>
      </c>
      <c r="D61" s="268" t="s">
        <v>433</v>
      </c>
      <c r="E61" s="71">
        <v>1</v>
      </c>
      <c r="F61" s="72" t="s">
        <v>434</v>
      </c>
      <c r="G61" s="261">
        <v>0.125</v>
      </c>
      <c r="H61" s="103"/>
      <c r="I61" s="103"/>
      <c r="J61" s="103"/>
      <c r="K61" s="103"/>
      <c r="L61" s="103"/>
      <c r="M61" s="103"/>
      <c r="N61" s="306">
        <v>1500000</v>
      </c>
      <c r="O61" s="263">
        <v>8</v>
      </c>
      <c r="P61" s="260">
        <v>96</v>
      </c>
      <c r="Q61" s="260">
        <v>7</v>
      </c>
      <c r="R61" s="264">
        <v>2024</v>
      </c>
      <c r="S61" s="265">
        <f t="shared" ref="S61" si="276">IF(Q61=1, 12, Q61-1)</f>
        <v>6</v>
      </c>
      <c r="T61" s="266">
        <f t="shared" ref="T61" si="277">IF(Q61=1,R61+O61-1,R61+O61)</f>
        <v>2032</v>
      </c>
      <c r="U61" s="96">
        <f t="shared" ref="U61" si="278">N61/P61</f>
        <v>15625</v>
      </c>
      <c r="V61" s="73">
        <v>0</v>
      </c>
      <c r="W61" s="73">
        <v>0</v>
      </c>
      <c r="X61" s="96">
        <v>0</v>
      </c>
      <c r="Y61" s="96">
        <v>0</v>
      </c>
      <c r="Z61" s="96">
        <v>0</v>
      </c>
      <c r="AA61" s="96">
        <v>0</v>
      </c>
      <c r="AB61" s="96">
        <v>0</v>
      </c>
      <c r="AC61" s="96">
        <v>0</v>
      </c>
      <c r="AD61" s="96">
        <v>0</v>
      </c>
      <c r="AE61" s="96">
        <v>0</v>
      </c>
      <c r="AF61" s="73">
        <f>IF(AB61&gt;=U61-6,U61-AB61,6)</f>
        <v>6</v>
      </c>
      <c r="AG61" s="73">
        <f t="shared" ref="AG61" si="279">+AB61+AF61</f>
        <v>6</v>
      </c>
      <c r="AH61" s="96">
        <f t="shared" ref="AH61" si="280">AF61*U61</f>
        <v>93750</v>
      </c>
      <c r="AI61" s="96">
        <f t="shared" ref="AI61" si="281">AD61+AH61</f>
        <v>93750</v>
      </c>
      <c r="AJ61" s="96">
        <f t="shared" ref="AJ61" si="282">N61-AI61</f>
        <v>1406250</v>
      </c>
      <c r="AK61" s="73">
        <f t="shared" ref="AK61:AK63" si="283">IF(AG61&gt;=U61-12,U61-AG61,12)</f>
        <v>12</v>
      </c>
      <c r="AL61" s="73">
        <f t="shared" ref="AL61:AL63" si="284">+AG61+AK61</f>
        <v>18</v>
      </c>
      <c r="AM61" s="96">
        <f t="shared" ref="AM61:AM63" si="285">AK61*U61</f>
        <v>187500</v>
      </c>
      <c r="AN61" s="96">
        <f t="shared" ref="AN61:AN63" si="286">AI61+AM61</f>
        <v>281250</v>
      </c>
      <c r="AO61" s="96">
        <f t="shared" ref="AO61:AO63" si="287">N61-AN61</f>
        <v>1218750</v>
      </c>
      <c r="AP61" s="73">
        <f t="shared" ref="AP61:AP63" si="288">IF(AL61&gt;=U61-12,U61-AL61,12)</f>
        <v>12</v>
      </c>
      <c r="AQ61" s="73">
        <f t="shared" ref="AQ61:AQ63" si="289">+AL61+AP61</f>
        <v>30</v>
      </c>
      <c r="AR61" s="96">
        <f t="shared" ref="AR61:AR63" si="290">AP61*U61</f>
        <v>187500</v>
      </c>
      <c r="AS61" s="96">
        <f t="shared" ref="AS61:AS63" si="291">AN61+AR61</f>
        <v>468750</v>
      </c>
      <c r="AT61" s="96">
        <f t="shared" ref="AT61:AT63" si="292">N61-AS61</f>
        <v>1031250</v>
      </c>
      <c r="AU61" s="286"/>
      <c r="AV61" s="202">
        <f t="shared" ref="AV61" si="293">SUM(AW61:BH61)</f>
        <v>187500</v>
      </c>
      <c r="AW61" s="203">
        <f t="shared" ref="AW61:AW63" si="294">+U61*1</f>
        <v>15625</v>
      </c>
      <c r="AX61" s="203">
        <f t="shared" ref="AX61:AX63" si="295">+U61*1</f>
        <v>15625</v>
      </c>
      <c r="AY61" s="203">
        <f t="shared" ref="AY61:AY63" si="296">+U61*1</f>
        <v>15625</v>
      </c>
      <c r="AZ61" s="203">
        <f t="shared" ref="AZ61:AZ63" si="297">+U61*1</f>
        <v>15625</v>
      </c>
      <c r="BA61" s="203">
        <f t="shared" ref="BA61:BA63" si="298">+U61*1</f>
        <v>15625</v>
      </c>
      <c r="BB61" s="203">
        <f t="shared" ref="BB61:BB63" si="299">+U61*1</f>
        <v>15625</v>
      </c>
      <c r="BC61" s="203">
        <f t="shared" ref="BC61:BC63" si="300">+U61*1</f>
        <v>15625</v>
      </c>
      <c r="BD61" s="203">
        <f t="shared" ref="BD61:BD63" si="301">+U61*1</f>
        <v>15625</v>
      </c>
      <c r="BE61" s="203">
        <f t="shared" ref="BE61:BE63" si="302">+U61*1</f>
        <v>15625</v>
      </c>
      <c r="BF61" s="203">
        <f t="shared" ref="BF61:BF63" si="303">+U61*1</f>
        <v>15625</v>
      </c>
      <c r="BG61" s="203">
        <f t="shared" ref="BG61:BG63" si="304">+U61*1</f>
        <v>15625</v>
      </c>
      <c r="BH61" s="203">
        <f t="shared" ref="BH61:BH63" si="305">+U61*1</f>
        <v>15625</v>
      </c>
    </row>
    <row r="62" spans="2:60" s="11" customFormat="1" x14ac:dyDescent="0.2">
      <c r="B62" s="97"/>
      <c r="C62" s="257">
        <v>45540</v>
      </c>
      <c r="D62" s="268" t="s">
        <v>437</v>
      </c>
      <c r="E62" s="71">
        <v>1</v>
      </c>
      <c r="F62" s="72" t="s">
        <v>438</v>
      </c>
      <c r="G62" s="261">
        <v>0.125</v>
      </c>
      <c r="H62" s="103"/>
      <c r="I62" s="103"/>
      <c r="J62" s="103"/>
      <c r="K62" s="103"/>
      <c r="L62" s="103"/>
      <c r="M62" s="103"/>
      <c r="N62" s="312">
        <v>950000</v>
      </c>
      <c r="O62" s="263">
        <v>8</v>
      </c>
      <c r="P62" s="260">
        <v>96</v>
      </c>
      <c r="Q62" s="260">
        <v>9</v>
      </c>
      <c r="R62" s="264">
        <v>2024</v>
      </c>
      <c r="S62" s="265">
        <f t="shared" ref="S62:S63" si="306">IF(Q62=1, 12, Q62-1)</f>
        <v>8</v>
      </c>
      <c r="T62" s="266">
        <f t="shared" ref="T62:T63" si="307">IF(Q62=1,R62+O62-1,R62+O62)</f>
        <v>2032</v>
      </c>
      <c r="U62" s="96">
        <f t="shared" ref="U62:U63" si="308">N62/P62</f>
        <v>9895.8333333333339</v>
      </c>
      <c r="V62" s="73">
        <v>0</v>
      </c>
      <c r="W62" s="73">
        <v>0</v>
      </c>
      <c r="X62" s="96">
        <v>0</v>
      </c>
      <c r="Y62" s="96">
        <v>0</v>
      </c>
      <c r="Z62" s="96">
        <v>0</v>
      </c>
      <c r="AA62" s="96">
        <v>0</v>
      </c>
      <c r="AB62" s="96">
        <v>0</v>
      </c>
      <c r="AC62" s="96">
        <v>0</v>
      </c>
      <c r="AD62" s="96">
        <v>0</v>
      </c>
      <c r="AE62" s="96">
        <v>0</v>
      </c>
      <c r="AF62" s="73">
        <f>IF(AB62&gt;=U62-4,U62-AB62,4)</f>
        <v>4</v>
      </c>
      <c r="AG62" s="73">
        <f t="shared" ref="AG62:AG63" si="309">+AB62+AF62</f>
        <v>4</v>
      </c>
      <c r="AH62" s="96">
        <f t="shared" ref="AH62:AH63" si="310">AF62*U62</f>
        <v>39583.333333333336</v>
      </c>
      <c r="AI62" s="96">
        <f t="shared" ref="AI62:AI63" si="311">AD62+AH62</f>
        <v>39583.333333333336</v>
      </c>
      <c r="AJ62" s="96">
        <f t="shared" ref="AJ62:AJ63" si="312">N62-AI62</f>
        <v>910416.66666666663</v>
      </c>
      <c r="AK62" s="73">
        <f t="shared" si="283"/>
        <v>12</v>
      </c>
      <c r="AL62" s="73">
        <f t="shared" si="284"/>
        <v>16</v>
      </c>
      <c r="AM62" s="96">
        <f t="shared" si="285"/>
        <v>118750</v>
      </c>
      <c r="AN62" s="96">
        <f t="shared" si="286"/>
        <v>158333.33333333334</v>
      </c>
      <c r="AO62" s="96">
        <f t="shared" si="287"/>
        <v>791666.66666666663</v>
      </c>
      <c r="AP62" s="73">
        <f t="shared" si="288"/>
        <v>12</v>
      </c>
      <c r="AQ62" s="73">
        <f t="shared" si="289"/>
        <v>28</v>
      </c>
      <c r="AR62" s="96">
        <f t="shared" si="290"/>
        <v>118750</v>
      </c>
      <c r="AS62" s="96">
        <f t="shared" si="291"/>
        <v>277083.33333333337</v>
      </c>
      <c r="AT62" s="96">
        <f t="shared" si="292"/>
        <v>672916.66666666663</v>
      </c>
      <c r="AU62" s="286"/>
      <c r="AV62" s="202">
        <f t="shared" ref="AV62:AV63" si="313">SUM(AW62:BH62)</f>
        <v>118749.99999999999</v>
      </c>
      <c r="AW62" s="203">
        <f t="shared" si="294"/>
        <v>9895.8333333333339</v>
      </c>
      <c r="AX62" s="203">
        <f t="shared" si="295"/>
        <v>9895.8333333333339</v>
      </c>
      <c r="AY62" s="203">
        <f t="shared" si="296"/>
        <v>9895.8333333333339</v>
      </c>
      <c r="AZ62" s="203">
        <f t="shared" si="297"/>
        <v>9895.8333333333339</v>
      </c>
      <c r="BA62" s="203">
        <f t="shared" si="298"/>
        <v>9895.8333333333339</v>
      </c>
      <c r="BB62" s="203">
        <f t="shared" si="299"/>
        <v>9895.8333333333339</v>
      </c>
      <c r="BC62" s="203">
        <f t="shared" si="300"/>
        <v>9895.8333333333339</v>
      </c>
      <c r="BD62" s="203">
        <f t="shared" si="301"/>
        <v>9895.8333333333339</v>
      </c>
      <c r="BE62" s="203">
        <f t="shared" si="302"/>
        <v>9895.8333333333339</v>
      </c>
      <c r="BF62" s="203">
        <f t="shared" si="303"/>
        <v>9895.8333333333339</v>
      </c>
      <c r="BG62" s="203">
        <f t="shared" si="304"/>
        <v>9895.8333333333339</v>
      </c>
      <c r="BH62" s="203">
        <f t="shared" si="305"/>
        <v>9895.8333333333339</v>
      </c>
    </row>
    <row r="63" spans="2:60" s="11" customFormat="1" x14ac:dyDescent="0.2">
      <c r="B63" s="97"/>
      <c r="C63" s="89">
        <v>45586</v>
      </c>
      <c r="D63" s="70" t="s">
        <v>439</v>
      </c>
      <c r="E63" s="71">
        <v>1</v>
      </c>
      <c r="F63" s="72" t="s">
        <v>440</v>
      </c>
      <c r="G63" s="261">
        <v>0.125</v>
      </c>
      <c r="H63" s="103"/>
      <c r="I63" s="103"/>
      <c r="J63" s="103"/>
      <c r="K63" s="103"/>
      <c r="L63" s="103"/>
      <c r="M63" s="103"/>
      <c r="N63" s="312">
        <v>4600000</v>
      </c>
      <c r="O63" s="263">
        <v>8</v>
      </c>
      <c r="P63" s="260">
        <v>96</v>
      </c>
      <c r="Q63" s="260">
        <v>10</v>
      </c>
      <c r="R63" s="264">
        <v>2024</v>
      </c>
      <c r="S63" s="265">
        <f t="shared" si="306"/>
        <v>9</v>
      </c>
      <c r="T63" s="266">
        <f t="shared" si="307"/>
        <v>2032</v>
      </c>
      <c r="U63" s="96">
        <f t="shared" si="308"/>
        <v>47916.666666666664</v>
      </c>
      <c r="V63" s="73">
        <v>0</v>
      </c>
      <c r="W63" s="73">
        <v>0</v>
      </c>
      <c r="X63" s="96">
        <v>0</v>
      </c>
      <c r="Y63" s="96">
        <v>0</v>
      </c>
      <c r="Z63" s="96">
        <v>0</v>
      </c>
      <c r="AA63" s="96">
        <v>0</v>
      </c>
      <c r="AB63" s="96">
        <v>0</v>
      </c>
      <c r="AC63" s="96">
        <v>0</v>
      </c>
      <c r="AD63" s="96">
        <v>0</v>
      </c>
      <c r="AE63" s="96">
        <v>0</v>
      </c>
      <c r="AF63" s="73">
        <f>IF(AB63&gt;=U63-3,U63-AB63,3)</f>
        <v>3</v>
      </c>
      <c r="AG63" s="73">
        <f t="shared" si="309"/>
        <v>3</v>
      </c>
      <c r="AH63" s="96">
        <f t="shared" si="310"/>
        <v>143750</v>
      </c>
      <c r="AI63" s="96">
        <f t="shared" si="311"/>
        <v>143750</v>
      </c>
      <c r="AJ63" s="96">
        <f t="shared" si="312"/>
        <v>4456250</v>
      </c>
      <c r="AK63" s="73">
        <f t="shared" si="283"/>
        <v>12</v>
      </c>
      <c r="AL63" s="73">
        <f t="shared" si="284"/>
        <v>15</v>
      </c>
      <c r="AM63" s="96">
        <f t="shared" si="285"/>
        <v>575000</v>
      </c>
      <c r="AN63" s="96">
        <f t="shared" si="286"/>
        <v>718750</v>
      </c>
      <c r="AO63" s="96">
        <f t="shared" si="287"/>
        <v>3881250</v>
      </c>
      <c r="AP63" s="73">
        <f t="shared" si="288"/>
        <v>12</v>
      </c>
      <c r="AQ63" s="73">
        <f t="shared" si="289"/>
        <v>27</v>
      </c>
      <c r="AR63" s="96">
        <f t="shared" si="290"/>
        <v>575000</v>
      </c>
      <c r="AS63" s="96">
        <f t="shared" si="291"/>
        <v>1293750</v>
      </c>
      <c r="AT63" s="96">
        <f t="shared" si="292"/>
        <v>3306250</v>
      </c>
      <c r="AU63" s="286"/>
      <c r="AV63" s="202">
        <f t="shared" si="313"/>
        <v>575000</v>
      </c>
      <c r="AW63" s="203">
        <f t="shared" si="294"/>
        <v>47916.666666666664</v>
      </c>
      <c r="AX63" s="203">
        <f t="shared" si="295"/>
        <v>47916.666666666664</v>
      </c>
      <c r="AY63" s="203">
        <f t="shared" si="296"/>
        <v>47916.666666666664</v>
      </c>
      <c r="AZ63" s="203">
        <f t="shared" si="297"/>
        <v>47916.666666666664</v>
      </c>
      <c r="BA63" s="203">
        <f t="shared" si="298"/>
        <v>47916.666666666664</v>
      </c>
      <c r="BB63" s="203">
        <f t="shared" si="299"/>
        <v>47916.666666666664</v>
      </c>
      <c r="BC63" s="203">
        <f t="shared" si="300"/>
        <v>47916.666666666664</v>
      </c>
      <c r="BD63" s="203">
        <f t="shared" si="301"/>
        <v>47916.666666666664</v>
      </c>
      <c r="BE63" s="203">
        <f t="shared" si="302"/>
        <v>47916.666666666664</v>
      </c>
      <c r="BF63" s="203">
        <f t="shared" si="303"/>
        <v>47916.666666666664</v>
      </c>
      <c r="BG63" s="203">
        <f t="shared" si="304"/>
        <v>47916.666666666664</v>
      </c>
      <c r="BH63" s="203">
        <f t="shared" si="305"/>
        <v>47916.666666666664</v>
      </c>
    </row>
    <row r="64" spans="2:60" s="11" customFormat="1" x14ac:dyDescent="0.2">
      <c r="B64" s="97"/>
      <c r="C64" s="89"/>
      <c r="D64" s="268"/>
      <c r="E64" s="71"/>
      <c r="F64" s="72"/>
      <c r="G64" s="102"/>
      <c r="H64" s="103"/>
      <c r="I64" s="103"/>
      <c r="J64" s="103"/>
      <c r="K64" s="103"/>
      <c r="L64" s="103"/>
      <c r="M64" s="103"/>
      <c r="N64" s="327"/>
      <c r="O64" s="104"/>
      <c r="P64" s="101"/>
      <c r="Q64" s="101"/>
      <c r="R64" s="105"/>
      <c r="S64" s="106"/>
      <c r="T64" s="107"/>
      <c r="U64" s="256"/>
      <c r="V64" s="109"/>
      <c r="W64" s="109"/>
      <c r="X64" s="256"/>
      <c r="Y64" s="256"/>
      <c r="Z64" s="256"/>
      <c r="AA64" s="109"/>
      <c r="AB64" s="109"/>
      <c r="AC64" s="256"/>
      <c r="AD64" s="256"/>
      <c r="AE64" s="256"/>
      <c r="AF64" s="109"/>
      <c r="AG64" s="109"/>
      <c r="AH64" s="256"/>
      <c r="AI64" s="256"/>
      <c r="AJ64" s="256"/>
      <c r="AK64" s="109"/>
      <c r="AL64" s="109"/>
      <c r="AM64" s="256"/>
      <c r="AN64" s="256"/>
      <c r="AO64" s="256"/>
      <c r="AP64" s="109"/>
      <c r="AQ64" s="109"/>
      <c r="AR64" s="256"/>
      <c r="AS64" s="256"/>
      <c r="AT64" s="256"/>
      <c r="AU64" s="288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</row>
    <row r="65" spans="2:60" s="11" customFormat="1" x14ac:dyDescent="0.2">
      <c r="B65" s="97"/>
      <c r="C65" s="89"/>
      <c r="D65" s="268"/>
      <c r="E65" s="71"/>
      <c r="F65" s="72"/>
      <c r="G65" s="102"/>
      <c r="H65" s="103"/>
      <c r="I65" s="103"/>
      <c r="J65" s="103"/>
      <c r="K65" s="103"/>
      <c r="L65" s="103"/>
      <c r="M65" s="103"/>
      <c r="N65" s="159">
        <f>SUM(N61:N64)</f>
        <v>7050000</v>
      </c>
      <c r="O65" s="104"/>
      <c r="P65" s="101"/>
      <c r="Q65" s="101"/>
      <c r="R65" s="105"/>
      <c r="S65" s="106"/>
      <c r="T65" s="107"/>
      <c r="U65" s="256"/>
      <c r="V65" s="109"/>
      <c r="W65" s="109"/>
      <c r="X65" s="256"/>
      <c r="Y65" s="256"/>
      <c r="Z65" s="256"/>
      <c r="AA65" s="109"/>
      <c r="AB65" s="109"/>
      <c r="AC65" s="256"/>
      <c r="AD65" s="256"/>
      <c r="AE65" s="256"/>
      <c r="AF65" s="109"/>
      <c r="AG65" s="109"/>
      <c r="AH65" s="159">
        <f t="shared" ref="AH65:BH65" si="314">SUM(AH61:AH64)</f>
        <v>277083.33333333337</v>
      </c>
      <c r="AI65" s="159">
        <f t="shared" si="314"/>
        <v>277083.33333333337</v>
      </c>
      <c r="AJ65" s="159">
        <f t="shared" si="314"/>
        <v>6772916.666666666</v>
      </c>
      <c r="AK65" s="109"/>
      <c r="AL65" s="109"/>
      <c r="AM65" s="159">
        <f t="shared" ref="AM65:AO65" si="315">SUM(AM61:AM64)</f>
        <v>881250</v>
      </c>
      <c r="AN65" s="159">
        <f t="shared" si="315"/>
        <v>1158333.3333333335</v>
      </c>
      <c r="AO65" s="159">
        <f t="shared" si="315"/>
        <v>5891666.666666666</v>
      </c>
      <c r="AP65" s="109"/>
      <c r="AQ65" s="109"/>
      <c r="AR65" s="159">
        <f t="shared" ref="AR65:AT65" si="316">SUM(AR61:AR64)</f>
        <v>881250</v>
      </c>
      <c r="AS65" s="159">
        <f t="shared" si="316"/>
        <v>2039583.3333333335</v>
      </c>
      <c r="AT65" s="159">
        <f t="shared" si="316"/>
        <v>5010416.666666666</v>
      </c>
      <c r="AU65" s="159">
        <f t="shared" si="314"/>
        <v>0</v>
      </c>
      <c r="AV65" s="193">
        <f t="shared" si="314"/>
        <v>881250</v>
      </c>
      <c r="AW65" s="159">
        <f t="shared" si="314"/>
        <v>73437.5</v>
      </c>
      <c r="AX65" s="159">
        <f t="shared" si="314"/>
        <v>73437.5</v>
      </c>
      <c r="AY65" s="159">
        <f t="shared" si="314"/>
        <v>73437.5</v>
      </c>
      <c r="AZ65" s="159">
        <f t="shared" si="314"/>
        <v>73437.5</v>
      </c>
      <c r="BA65" s="159">
        <f t="shared" si="314"/>
        <v>73437.5</v>
      </c>
      <c r="BB65" s="159">
        <f t="shared" si="314"/>
        <v>73437.5</v>
      </c>
      <c r="BC65" s="159">
        <f t="shared" si="314"/>
        <v>73437.5</v>
      </c>
      <c r="BD65" s="159">
        <f t="shared" si="314"/>
        <v>73437.5</v>
      </c>
      <c r="BE65" s="159">
        <f t="shared" si="314"/>
        <v>73437.5</v>
      </c>
      <c r="BF65" s="159">
        <f t="shared" si="314"/>
        <v>73437.5</v>
      </c>
      <c r="BG65" s="159">
        <f t="shared" si="314"/>
        <v>73437.5</v>
      </c>
      <c r="BH65" s="159">
        <f t="shared" si="314"/>
        <v>73437.5</v>
      </c>
    </row>
    <row r="66" spans="2:60" s="11" customFormat="1" x14ac:dyDescent="0.2">
      <c r="B66" s="97"/>
      <c r="C66" s="89"/>
      <c r="D66" s="268"/>
      <c r="E66" s="71"/>
      <c r="F66" s="72"/>
      <c r="G66" s="102"/>
      <c r="H66" s="103"/>
      <c r="I66" s="103"/>
      <c r="J66" s="103"/>
      <c r="K66" s="103"/>
      <c r="L66" s="103"/>
      <c r="M66" s="103"/>
      <c r="N66" s="256"/>
      <c r="O66" s="104"/>
      <c r="P66" s="101"/>
      <c r="Q66" s="101"/>
      <c r="R66" s="105"/>
      <c r="S66" s="106"/>
      <c r="T66" s="107"/>
      <c r="U66" s="256"/>
      <c r="V66" s="109"/>
      <c r="W66" s="109"/>
      <c r="X66" s="256"/>
      <c r="Y66" s="256"/>
      <c r="Z66" s="256"/>
      <c r="AA66" s="109"/>
      <c r="AB66" s="109"/>
      <c r="AC66" s="256"/>
      <c r="AD66" s="256"/>
      <c r="AE66" s="256"/>
      <c r="AF66" s="109"/>
      <c r="AG66" s="109"/>
      <c r="AH66" s="256"/>
      <c r="AI66" s="256"/>
      <c r="AJ66" s="256"/>
      <c r="AK66" s="109"/>
      <c r="AL66" s="109"/>
      <c r="AM66" s="256"/>
      <c r="AN66" s="256"/>
      <c r="AO66" s="256"/>
      <c r="AP66" s="109"/>
      <c r="AQ66" s="109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</row>
    <row r="67" spans="2:60" s="11" customFormat="1" x14ac:dyDescent="0.2">
      <c r="B67" s="97"/>
      <c r="C67" s="89"/>
      <c r="D67" s="268"/>
      <c r="E67" s="71"/>
      <c r="F67" s="72"/>
      <c r="G67" s="102"/>
      <c r="H67" s="103"/>
      <c r="I67" s="103"/>
      <c r="J67" s="103"/>
      <c r="K67" s="103"/>
      <c r="L67" s="103"/>
      <c r="M67" s="103"/>
      <c r="N67" s="256"/>
      <c r="O67" s="104"/>
      <c r="P67" s="101"/>
      <c r="Q67" s="101"/>
      <c r="R67" s="105"/>
      <c r="S67" s="106"/>
      <c r="T67" s="107"/>
      <c r="U67" s="256"/>
      <c r="V67" s="109"/>
      <c r="W67" s="109"/>
      <c r="X67" s="256"/>
      <c r="Y67" s="256"/>
      <c r="Z67" s="256"/>
      <c r="AA67" s="109"/>
      <c r="AB67" s="109"/>
      <c r="AC67" s="256"/>
      <c r="AD67" s="256"/>
      <c r="AE67" s="256"/>
      <c r="AF67" s="109"/>
      <c r="AG67" s="109"/>
      <c r="AH67" s="256"/>
      <c r="AI67" s="256"/>
      <c r="AJ67" s="256"/>
      <c r="AK67" s="109"/>
      <c r="AL67" s="109"/>
      <c r="AM67" s="256"/>
      <c r="AN67" s="256"/>
      <c r="AO67" s="256"/>
      <c r="AP67" s="109"/>
      <c r="AQ67" s="109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</row>
    <row r="68" spans="2:60" s="11" customFormat="1" x14ac:dyDescent="0.2">
      <c r="B68" s="97"/>
      <c r="C68" s="89"/>
      <c r="D68" s="268"/>
      <c r="E68" s="71"/>
      <c r="F68" s="72"/>
      <c r="G68" s="102"/>
      <c r="H68" s="103"/>
      <c r="I68" s="103"/>
      <c r="J68" s="103"/>
      <c r="K68" s="103"/>
      <c r="L68" s="103"/>
      <c r="M68" s="103"/>
      <c r="N68" s="256"/>
      <c r="O68" s="104"/>
      <c r="P68" s="101"/>
      <c r="Q68" s="101"/>
      <c r="R68" s="105"/>
      <c r="S68" s="106"/>
      <c r="T68" s="107"/>
      <c r="U68" s="256"/>
      <c r="V68" s="109"/>
      <c r="W68" s="109"/>
      <c r="X68" s="256"/>
      <c r="Y68" s="256"/>
      <c r="Z68" s="256"/>
      <c r="AA68" s="109"/>
      <c r="AB68" s="109"/>
      <c r="AC68" s="256"/>
      <c r="AD68" s="256"/>
      <c r="AE68" s="256"/>
      <c r="AF68" s="109"/>
      <c r="AG68" s="109"/>
      <c r="AH68" s="256"/>
      <c r="AI68" s="256"/>
      <c r="AJ68" s="256"/>
      <c r="AK68" s="109"/>
      <c r="AL68" s="109"/>
      <c r="AM68" s="256"/>
      <c r="AN68" s="256"/>
      <c r="AO68" s="256"/>
      <c r="AP68" s="109"/>
      <c r="AQ68" s="109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</row>
    <row r="69" spans="2:60" s="11" customFormat="1" x14ac:dyDescent="0.2">
      <c r="B69" s="97"/>
      <c r="C69" s="89"/>
      <c r="D69" s="268"/>
      <c r="E69" s="71"/>
      <c r="F69" s="72"/>
      <c r="G69" s="102"/>
      <c r="H69" s="103"/>
      <c r="I69" s="103"/>
      <c r="J69" s="103"/>
      <c r="K69" s="103"/>
      <c r="L69" s="103"/>
      <c r="M69" s="103"/>
      <c r="N69" s="256"/>
      <c r="O69" s="104"/>
      <c r="P69" s="101"/>
      <c r="Q69" s="101"/>
      <c r="R69" s="105"/>
      <c r="S69" s="106"/>
      <c r="T69" s="107"/>
      <c r="U69" s="256"/>
      <c r="V69" s="109"/>
      <c r="W69" s="109"/>
      <c r="X69" s="256"/>
      <c r="Y69" s="256"/>
      <c r="Z69" s="256"/>
      <c r="AA69" s="109"/>
      <c r="AB69" s="109"/>
      <c r="AC69" s="256"/>
      <c r="AD69" s="256"/>
      <c r="AE69" s="256"/>
      <c r="AF69" s="109"/>
      <c r="AG69" s="109"/>
      <c r="AH69" s="256"/>
      <c r="AI69" s="256"/>
      <c r="AJ69" s="256"/>
      <c r="AK69" s="109"/>
      <c r="AL69" s="109"/>
      <c r="AM69" s="256"/>
      <c r="AN69" s="256"/>
      <c r="AO69" s="256"/>
      <c r="AP69" s="109"/>
      <c r="AQ69" s="109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</row>
    <row r="70" spans="2:60" s="11" customFormat="1" x14ac:dyDescent="0.2">
      <c r="B70" s="97"/>
      <c r="C70" s="89"/>
      <c r="D70" s="268"/>
      <c r="E70" s="71"/>
      <c r="F70" s="72"/>
      <c r="G70" s="102"/>
      <c r="H70" s="103"/>
      <c r="I70" s="103"/>
      <c r="J70" s="103"/>
      <c r="K70" s="103"/>
      <c r="L70" s="103"/>
      <c r="M70" s="103"/>
      <c r="N70" s="256"/>
      <c r="O70" s="104"/>
      <c r="P70" s="101"/>
      <c r="Q70" s="101"/>
      <c r="R70" s="105"/>
      <c r="S70" s="106"/>
      <c r="T70" s="107"/>
      <c r="U70" s="256"/>
      <c r="V70" s="109"/>
      <c r="W70" s="109"/>
      <c r="X70" s="256"/>
      <c r="Y70" s="256"/>
      <c r="Z70" s="256"/>
      <c r="AA70" s="109"/>
      <c r="AB70" s="109"/>
      <c r="AC70" s="256"/>
      <c r="AD70" s="256"/>
      <c r="AE70" s="256"/>
      <c r="AF70" s="109"/>
      <c r="AG70" s="109"/>
      <c r="AH70" s="256"/>
      <c r="AI70" s="256"/>
      <c r="AJ70" s="256"/>
      <c r="AK70" s="109"/>
      <c r="AL70" s="109"/>
      <c r="AM70" s="256"/>
      <c r="AN70" s="256"/>
      <c r="AO70" s="256"/>
      <c r="AP70" s="109"/>
      <c r="AQ70" s="109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</row>
    <row r="71" spans="2:60" s="11" customFormat="1" x14ac:dyDescent="0.2">
      <c r="B71" s="97"/>
      <c r="C71" s="98"/>
      <c r="D71" s="99"/>
      <c r="E71" s="100"/>
      <c r="F71" s="101"/>
      <c r="G71" s="102"/>
      <c r="H71" s="103"/>
      <c r="I71" s="103"/>
      <c r="J71" s="103"/>
      <c r="K71" s="103"/>
      <c r="L71" s="103"/>
      <c r="M71" s="103"/>
      <c r="N71" s="249">
        <f>+N29+N44+N50+N59+N65</f>
        <v>221324363.07999998</v>
      </c>
      <c r="O71" s="104"/>
      <c r="P71" s="101"/>
      <c r="Q71" s="101"/>
      <c r="R71" s="105"/>
      <c r="S71" s="106"/>
      <c r="T71" s="107"/>
      <c r="U71" s="249">
        <f>+U29+U44+U50+U59+U65</f>
        <v>2232024.6154166665</v>
      </c>
      <c r="V71" s="109"/>
      <c r="W71" s="109"/>
      <c r="X71" s="249">
        <f>+X29+X44+X50+X59+X65</f>
        <v>19301660.25</v>
      </c>
      <c r="Y71" s="249">
        <f t="shared" ref="Y71:Z71" si="317">+Y29+Y44+Y50+Y59+Y65</f>
        <v>58773621.854166664</v>
      </c>
      <c r="Z71" s="249">
        <f t="shared" si="317"/>
        <v>120919660.14583333</v>
      </c>
      <c r="AA71" s="109"/>
      <c r="AB71" s="109"/>
      <c r="AC71" s="249">
        <f t="shared" ref="AC71:AE71" si="318">+AC29+AC44+AC50+AC59+AC65</f>
        <v>22960521.173333332</v>
      </c>
      <c r="AD71" s="249">
        <f t="shared" si="318"/>
        <v>81734143.027500004</v>
      </c>
      <c r="AE71" s="249">
        <f t="shared" si="318"/>
        <v>132540220.05250001</v>
      </c>
      <c r="AF71" s="109"/>
      <c r="AG71" s="109"/>
      <c r="AH71" s="249">
        <f>+AH29+AH44+AH50+AH59+AH65</f>
        <v>24977837.051666666</v>
      </c>
      <c r="AI71" s="249">
        <f t="shared" ref="AI71:BH71" si="319">+AI29+AI44+AI50+AI59+AI65</f>
        <v>106711980.07916667</v>
      </c>
      <c r="AJ71" s="249">
        <f t="shared" si="319"/>
        <v>114612383.00083333</v>
      </c>
      <c r="AK71" s="109"/>
      <c r="AL71" s="109"/>
      <c r="AM71" s="249">
        <f>+AM29+AM44+AM50+AM59+AM65</f>
        <v>24213076.634999998</v>
      </c>
      <c r="AN71" s="249">
        <f t="shared" ref="AN71" si="320">+AN29+AN44+AN50+AN59+AN65</f>
        <v>130925056.71416667</v>
      </c>
      <c r="AO71" s="249">
        <f>+AO29+AO44+AO50+AO59+AO65</f>
        <v>90399306.365833327</v>
      </c>
      <c r="AP71" s="109"/>
      <c r="AQ71" s="109"/>
      <c r="AR71" s="249">
        <f>+AR29+AR44+AR50+AR59+AR65</f>
        <v>23554707.884999998</v>
      </c>
      <c r="AS71" s="249">
        <f t="shared" ref="AS71" si="321">+AS29+AS44+AS50+AS59+AS65</f>
        <v>154479764.59916669</v>
      </c>
      <c r="AT71" s="249">
        <f>+AT29+AT44+AT50+AT59+AT65</f>
        <v>66844598.480833337</v>
      </c>
      <c r="AU71" s="249">
        <f t="shared" si="319"/>
        <v>0</v>
      </c>
      <c r="AV71" s="249">
        <f t="shared" si="319"/>
        <v>23554707.884999998</v>
      </c>
      <c r="AW71" s="249">
        <f t="shared" si="319"/>
        <v>1996017.32375</v>
      </c>
      <c r="AX71" s="249">
        <f t="shared" si="319"/>
        <v>1996017.32375</v>
      </c>
      <c r="AY71" s="249">
        <f t="shared" si="319"/>
        <v>1996017.32375</v>
      </c>
      <c r="AZ71" s="249">
        <f t="shared" si="319"/>
        <v>1996017.32375</v>
      </c>
      <c r="BA71" s="249">
        <f t="shared" si="319"/>
        <v>1946329.82375</v>
      </c>
      <c r="BB71" s="249">
        <f t="shared" si="319"/>
        <v>1946329.82375</v>
      </c>
      <c r="BC71" s="249">
        <f t="shared" si="319"/>
        <v>1946329.82375</v>
      </c>
      <c r="BD71" s="249">
        <f t="shared" si="319"/>
        <v>1946329.82375</v>
      </c>
      <c r="BE71" s="249">
        <f t="shared" si="319"/>
        <v>1946329.82375</v>
      </c>
      <c r="BF71" s="249">
        <f t="shared" si="319"/>
        <v>1946329.82375</v>
      </c>
      <c r="BG71" s="249">
        <f t="shared" si="319"/>
        <v>1946329.82375</v>
      </c>
      <c r="BH71" s="249">
        <f t="shared" si="319"/>
        <v>1946329.82375</v>
      </c>
    </row>
    <row r="72" spans="2:60" s="11" customFormat="1" x14ac:dyDescent="0.2">
      <c r="B72" s="97"/>
      <c r="C72" s="98"/>
      <c r="D72" s="99"/>
      <c r="E72" s="100"/>
      <c r="F72" s="101"/>
      <c r="G72" s="102"/>
      <c r="H72" s="103"/>
      <c r="I72" s="103"/>
      <c r="J72" s="103"/>
      <c r="K72" s="103"/>
      <c r="L72" s="103"/>
      <c r="M72" s="103"/>
      <c r="N72" s="103"/>
      <c r="O72" s="104"/>
      <c r="P72" s="101"/>
      <c r="Q72" s="101"/>
      <c r="R72" s="105"/>
      <c r="S72" s="106"/>
      <c r="T72" s="107"/>
      <c r="U72" s="110"/>
      <c r="V72" s="109"/>
      <c r="W72" s="109"/>
      <c r="X72" s="232"/>
      <c r="Y72" s="232"/>
      <c r="Z72" s="232"/>
      <c r="AA72" s="313"/>
      <c r="AB72" s="313"/>
      <c r="AC72" s="313"/>
      <c r="AD72" s="313"/>
      <c r="AE72" s="313"/>
      <c r="AF72" s="313"/>
      <c r="AG72" s="313"/>
      <c r="AH72" s="313"/>
      <c r="AI72" s="313"/>
      <c r="AJ72" s="313"/>
      <c r="AK72" s="313"/>
      <c r="AL72" s="313"/>
      <c r="AM72" s="313"/>
      <c r="AN72" s="313"/>
      <c r="AO72" s="313"/>
      <c r="AP72" s="313"/>
      <c r="AQ72" s="313"/>
      <c r="AR72" s="313"/>
      <c r="AS72" s="313"/>
      <c r="AT72" s="313"/>
      <c r="AU72" s="294"/>
      <c r="AV72" s="295"/>
      <c r="AW72" s="295"/>
      <c r="AX72" s="296"/>
      <c r="AY72" s="297"/>
      <c r="AZ72" s="297"/>
      <c r="BA72" s="297"/>
      <c r="BB72" s="297"/>
      <c r="BC72" s="297"/>
      <c r="BD72" s="297"/>
      <c r="BE72" s="297"/>
      <c r="BF72" s="297"/>
      <c r="BG72" s="297"/>
      <c r="BH72" s="297"/>
    </row>
    <row r="73" spans="2:60" s="11" customFormat="1" x14ac:dyDescent="0.2">
      <c r="B73" s="97"/>
      <c r="C73" s="98"/>
      <c r="D73" s="99"/>
      <c r="E73" s="100"/>
      <c r="F73" s="101"/>
      <c r="G73" s="102"/>
      <c r="H73" s="103"/>
      <c r="I73" s="103"/>
      <c r="J73" s="103"/>
      <c r="K73" s="103"/>
      <c r="L73" s="103"/>
      <c r="M73" s="103"/>
      <c r="N73" s="103"/>
      <c r="O73" s="104"/>
      <c r="P73" s="101"/>
      <c r="Q73" s="101"/>
      <c r="R73" s="105"/>
      <c r="S73" s="106"/>
      <c r="T73" s="107"/>
      <c r="U73" s="110"/>
      <c r="V73" s="109"/>
      <c r="W73" s="109"/>
      <c r="X73" s="232"/>
      <c r="Y73" s="232"/>
      <c r="Z73" s="232"/>
      <c r="AA73" s="313"/>
      <c r="AB73" s="313"/>
      <c r="AC73" s="313"/>
      <c r="AD73" s="313"/>
      <c r="AE73" s="313"/>
      <c r="AF73" s="313"/>
      <c r="AG73" s="313"/>
      <c r="AH73" s="313"/>
      <c r="AI73" s="313"/>
      <c r="AJ73" s="313"/>
      <c r="AK73" s="313"/>
      <c r="AL73" s="313"/>
      <c r="AM73" s="313"/>
      <c r="AN73" s="313"/>
      <c r="AO73" s="313"/>
      <c r="AP73" s="313"/>
      <c r="AQ73" s="313"/>
      <c r="AR73" s="313"/>
      <c r="AS73" s="313"/>
      <c r="AT73" s="313"/>
      <c r="AU73" s="294"/>
      <c r="AV73" s="295"/>
      <c r="AW73" s="295"/>
      <c r="AX73" s="296"/>
      <c r="AY73" s="297"/>
      <c r="AZ73" s="297"/>
      <c r="BA73" s="297"/>
      <c r="BB73" s="297"/>
      <c r="BC73" s="297"/>
      <c r="BD73" s="297"/>
      <c r="BE73" s="297"/>
      <c r="BF73" s="297"/>
      <c r="BG73" s="297"/>
      <c r="BH73" s="297"/>
    </row>
    <row r="74" spans="2:60" x14ac:dyDescent="0.2">
      <c r="E74" s="165"/>
      <c r="F74" t="s">
        <v>259</v>
      </c>
      <c r="G74" s="166"/>
      <c r="O74" s="167"/>
      <c r="R74" s="168"/>
      <c r="S74" s="169"/>
      <c r="T74" s="170"/>
      <c r="U74" s="172"/>
    </row>
    <row r="75" spans="2:60" x14ac:dyDescent="0.2">
      <c r="B75" s="10"/>
      <c r="C75" s="23"/>
      <c r="E75" s="165"/>
      <c r="G75"/>
      <c r="H75" s="166"/>
      <c r="O75" s="25"/>
      <c r="P75" s="167"/>
      <c r="R75" s="167"/>
      <c r="U75" s="168"/>
      <c r="V75" s="172"/>
      <c r="W75" s="172"/>
      <c r="X75" s="172"/>
      <c r="Y75" s="172"/>
      <c r="AX75" s="172"/>
      <c r="AY75" s="172"/>
      <c r="AZ75" s="25"/>
      <c r="BB75" s="172"/>
      <c r="BC75" s="12"/>
      <c r="BD75" s="25"/>
    </row>
    <row r="76" spans="2:60" x14ac:dyDescent="0.2">
      <c r="B76" s="10"/>
      <c r="C76" s="23"/>
      <c r="E76" s="165"/>
      <c r="G76"/>
      <c r="H76" s="166"/>
      <c r="O76" s="25"/>
      <c r="P76" s="167"/>
      <c r="R76" s="167"/>
      <c r="U76" s="168"/>
      <c r="V76" s="172"/>
      <c r="W76" s="172"/>
      <c r="X76" s="172"/>
      <c r="Y76" s="172"/>
      <c r="AX76" s="172"/>
      <c r="AY76" s="172"/>
      <c r="AZ76" s="25"/>
      <c r="BB76" s="172"/>
      <c r="BC76" s="12"/>
      <c r="BD76" s="25"/>
    </row>
    <row r="77" spans="2:60" x14ac:dyDescent="0.2">
      <c r="C77" s="173"/>
      <c r="E77" s="165"/>
      <c r="G77"/>
      <c r="H77" s="166"/>
      <c r="O77" s="25"/>
      <c r="P77" s="167"/>
      <c r="R77" s="167"/>
      <c r="U77" s="168"/>
      <c r="V77" s="172"/>
      <c r="W77" s="172"/>
      <c r="X77" s="172"/>
      <c r="Y77" s="172"/>
      <c r="AX77" s="172"/>
      <c r="AY77" s="172"/>
      <c r="AZ77" s="25"/>
      <c r="BB77" s="172"/>
      <c r="BC77" s="12"/>
      <c r="BD77" s="25"/>
    </row>
    <row r="78" spans="2:60" x14ac:dyDescent="0.2">
      <c r="C78" s="172"/>
      <c r="E78" s="165"/>
      <c r="G78"/>
      <c r="H78" s="174" t="e">
        <f>#REF!</f>
        <v>#REF!</v>
      </c>
      <c r="O78" s="25"/>
      <c r="P78" s="167"/>
      <c r="R78" s="167"/>
      <c r="U78" s="168"/>
      <c r="V78" s="172"/>
      <c r="W78" s="172"/>
      <c r="X78" s="172"/>
      <c r="Y78" s="172"/>
      <c r="AX78" s="172"/>
      <c r="AY78" s="172"/>
      <c r="AZ78" s="25"/>
      <c r="BB78" s="172"/>
      <c r="BC78" s="12"/>
      <c r="BD78" s="25"/>
    </row>
    <row r="79" spans="2:60" x14ac:dyDescent="0.2">
      <c r="C79" s="172"/>
      <c r="E79" s="165"/>
      <c r="G79"/>
      <c r="H79" s="174" t="e">
        <f>#REF!</f>
        <v>#REF!</v>
      </c>
      <c r="O79" s="25"/>
      <c r="P79" s="167"/>
      <c r="R79" s="167"/>
      <c r="U79" s="168"/>
      <c r="V79" s="172"/>
      <c r="W79" s="172"/>
      <c r="X79" s="172"/>
      <c r="Y79" s="172"/>
      <c r="AX79" s="172"/>
      <c r="AY79" s="172"/>
      <c r="AZ79" s="25"/>
      <c r="BB79" s="172"/>
      <c r="BC79" s="12"/>
      <c r="BD79" s="25"/>
    </row>
    <row r="80" spans="2:60" x14ac:dyDescent="0.2">
      <c r="C80" s="172"/>
      <c r="E80" s="165"/>
      <c r="G80"/>
      <c r="H80" s="175" t="e">
        <f>H78-H79</f>
        <v>#REF!</v>
      </c>
      <c r="O80" s="25"/>
      <c r="P80" s="167"/>
      <c r="R80" s="167"/>
      <c r="U80" s="168"/>
      <c r="V80" s="172"/>
      <c r="W80" s="172"/>
      <c r="X80" s="172"/>
      <c r="Y80" s="172"/>
      <c r="AX80" s="172"/>
      <c r="AY80" s="172"/>
      <c r="AZ80" s="25"/>
      <c r="BB80" s="172"/>
      <c r="BC80" s="12"/>
      <c r="BD80" s="25"/>
    </row>
    <row r="81" spans="2:56" x14ac:dyDescent="0.2">
      <c r="C81" s="23"/>
      <c r="E81" s="165"/>
      <c r="G81"/>
      <c r="H81" s="166"/>
      <c r="O81" s="25"/>
      <c r="P81" s="167"/>
      <c r="R81" s="167"/>
      <c r="U81" s="168"/>
      <c r="V81" s="172"/>
      <c r="W81" s="172"/>
      <c r="X81" s="172"/>
      <c r="Y81" s="172"/>
      <c r="AX81" s="172"/>
      <c r="AY81" s="172"/>
      <c r="AZ81" s="25"/>
      <c r="BB81" s="172"/>
      <c r="BC81" s="12"/>
      <c r="BD81" s="25"/>
    </row>
    <row r="82" spans="2:56" x14ac:dyDescent="0.2">
      <c r="C82" s="23"/>
      <c r="E82" s="165"/>
      <c r="G82"/>
      <c r="H82" s="166"/>
      <c r="O82" s="25"/>
      <c r="P82" s="167"/>
      <c r="R82" s="167"/>
      <c r="U82" s="168"/>
      <c r="V82" s="172"/>
      <c r="W82" s="172"/>
      <c r="X82" s="172"/>
      <c r="Y82" s="172"/>
      <c r="AX82" s="172"/>
      <c r="AY82" s="172"/>
      <c r="AZ82" s="25"/>
      <c r="BB82" s="172"/>
      <c r="BC82" s="12"/>
      <c r="BD82" s="25"/>
    </row>
    <row r="83" spans="2:56" x14ac:dyDescent="0.2">
      <c r="C83" s="173"/>
      <c r="E83" s="165"/>
      <c r="G83"/>
      <c r="H83" s="166"/>
      <c r="O83" s="25"/>
      <c r="P83" s="167"/>
      <c r="R83" s="167"/>
      <c r="U83" s="168"/>
      <c r="V83" s="172"/>
      <c r="W83" s="172"/>
      <c r="X83" s="172"/>
      <c r="Y83" s="172"/>
      <c r="AX83" s="172"/>
      <c r="AY83" s="172"/>
      <c r="AZ83" s="25"/>
      <c r="BB83" s="172"/>
      <c r="BC83" s="12"/>
      <c r="BD83" s="25"/>
    </row>
    <row r="84" spans="2:56" x14ac:dyDescent="0.2">
      <c r="C84" s="23"/>
      <c r="E84" s="165"/>
      <c r="G84"/>
      <c r="H84" s="166"/>
      <c r="O84" s="25"/>
      <c r="P84" s="167"/>
      <c r="R84" s="167"/>
      <c r="U84" s="168"/>
      <c r="V84" s="172"/>
      <c r="W84" s="172"/>
      <c r="X84" s="172"/>
      <c r="Y84" s="172"/>
      <c r="AX84" s="172"/>
      <c r="AY84" s="172"/>
      <c r="AZ84" s="25"/>
      <c r="BB84" s="172"/>
      <c r="BC84" s="12"/>
      <c r="BD84" s="25"/>
    </row>
    <row r="85" spans="2:56" x14ac:dyDescent="0.2">
      <c r="C85" s="172"/>
      <c r="D85"/>
      <c r="G85" s="172"/>
      <c r="H85" s="172" t="e">
        <f>#REF!</f>
        <v>#REF!</v>
      </c>
      <c r="I85"/>
      <c r="L85" s="176"/>
      <c r="O85" s="25"/>
      <c r="P85" s="167"/>
      <c r="R85" s="167"/>
      <c r="U85" s="168"/>
      <c r="V85" s="172"/>
      <c r="W85" s="172"/>
      <c r="X85" s="172"/>
      <c r="Y85" s="172"/>
      <c r="AX85" s="172"/>
      <c r="AY85" s="172"/>
      <c r="AZ85" s="25"/>
      <c r="BB85" s="172"/>
      <c r="BC85" s="12"/>
      <c r="BD85" s="25"/>
    </row>
    <row r="86" spans="2:56" x14ac:dyDescent="0.2">
      <c r="C86" s="172"/>
      <c r="D86"/>
      <c r="G86" s="172"/>
      <c r="H86" s="177" t="e">
        <f>#REF!</f>
        <v>#REF!</v>
      </c>
      <c r="I86"/>
      <c r="L86" s="176"/>
      <c r="O86" s="25"/>
      <c r="P86" s="167"/>
      <c r="R86" s="167"/>
      <c r="U86" s="168"/>
      <c r="V86" s="172"/>
      <c r="W86" s="172"/>
      <c r="X86" s="172"/>
      <c r="Y86" s="172"/>
      <c r="AX86" s="172"/>
      <c r="AY86" s="172"/>
      <c r="AZ86" s="25"/>
      <c r="BB86" s="172"/>
      <c r="BC86" s="12"/>
      <c r="BD86" s="25"/>
    </row>
    <row r="87" spans="2:56" x14ac:dyDescent="0.2">
      <c r="C87" s="172"/>
      <c r="D87"/>
      <c r="G87" s="172"/>
      <c r="H87" s="172" t="e">
        <f>H85-H86</f>
        <v>#REF!</v>
      </c>
      <c r="I87"/>
      <c r="L87" s="176"/>
      <c r="O87" s="25"/>
      <c r="P87" s="167"/>
      <c r="R87" s="167"/>
      <c r="U87" s="168"/>
      <c r="V87" s="172"/>
      <c r="W87" s="172"/>
      <c r="X87" s="172"/>
      <c r="Y87" s="172"/>
      <c r="AX87" s="172"/>
      <c r="AY87" s="172"/>
      <c r="AZ87" s="25"/>
      <c r="BB87" s="172"/>
      <c r="BC87" s="12"/>
      <c r="BD87" s="25"/>
    </row>
    <row r="88" spans="2:56" x14ac:dyDescent="0.2">
      <c r="C88" s="172"/>
      <c r="D88"/>
      <c r="G88" s="172"/>
      <c r="H88"/>
      <c r="I88"/>
      <c r="L88" s="176"/>
      <c r="O88" s="25"/>
      <c r="P88" s="167"/>
      <c r="R88" s="167"/>
      <c r="U88" s="168"/>
      <c r="V88" s="172"/>
      <c r="W88" s="172"/>
      <c r="X88" s="172"/>
      <c r="Y88" s="172"/>
      <c r="AX88" s="172"/>
      <c r="AY88" s="172"/>
      <c r="AZ88" s="25"/>
      <c r="BB88" s="172"/>
      <c r="BC88" s="12"/>
      <c r="BD88" s="25"/>
    </row>
    <row r="89" spans="2:56" x14ac:dyDescent="0.2">
      <c r="C89" s="172"/>
      <c r="D89"/>
      <c r="G89" s="172"/>
      <c r="H89"/>
      <c r="I89"/>
      <c r="O89" s="25"/>
      <c r="P89" s="167"/>
      <c r="R89" s="167"/>
      <c r="U89" s="168"/>
      <c r="V89" s="172"/>
      <c r="W89" s="172"/>
      <c r="X89" s="172"/>
      <c r="Y89" s="172"/>
      <c r="AX89" s="172"/>
      <c r="AY89" s="172"/>
      <c r="AZ89" s="25"/>
      <c r="BB89" s="172"/>
      <c r="BC89" s="12"/>
      <c r="BD89" s="25"/>
    </row>
    <row r="90" spans="2:56" x14ac:dyDescent="0.2">
      <c r="C90" s="24"/>
      <c r="D90"/>
      <c r="G90" s="172"/>
      <c r="H90" s="172">
        <f>SUM(G88:G90)</f>
        <v>0</v>
      </c>
      <c r="I90"/>
      <c r="O90" s="25"/>
      <c r="P90" s="167"/>
      <c r="R90" s="167"/>
      <c r="U90" s="168"/>
      <c r="V90" s="172"/>
      <c r="W90" s="172"/>
      <c r="X90" s="172"/>
      <c r="Y90" s="172"/>
      <c r="AX90" s="172"/>
      <c r="AY90" s="172"/>
      <c r="AZ90" s="25"/>
      <c r="BB90" s="172"/>
      <c r="BC90" s="12"/>
      <c r="BD90" s="25"/>
    </row>
    <row r="91" spans="2:56" x14ac:dyDescent="0.2">
      <c r="B91" s="6"/>
      <c r="C91" s="172"/>
      <c r="D91"/>
      <c r="G91" s="172"/>
      <c r="H91" s="178" t="e">
        <f>H87-H90</f>
        <v>#REF!</v>
      </c>
      <c r="I91"/>
      <c r="O91" s="25"/>
      <c r="P91" s="167"/>
      <c r="R91" s="167"/>
      <c r="U91" s="168"/>
      <c r="V91" s="172"/>
      <c r="W91" s="172"/>
      <c r="X91" s="172"/>
      <c r="Y91" s="172"/>
      <c r="AX91" s="172"/>
      <c r="AY91" s="172"/>
      <c r="AZ91" s="25"/>
      <c r="BB91" s="172"/>
      <c r="BC91" s="12"/>
      <c r="BD91" s="25"/>
    </row>
    <row r="92" spans="2:56" x14ac:dyDescent="0.2">
      <c r="C92" s="172"/>
      <c r="D92" s="24"/>
      <c r="G92" s="172"/>
      <c r="H92"/>
      <c r="I92"/>
      <c r="O92" s="25"/>
      <c r="P92" s="167"/>
      <c r="R92" s="167"/>
      <c r="U92" s="168"/>
      <c r="V92" s="172"/>
      <c r="W92" s="172"/>
      <c r="X92" s="172"/>
      <c r="Y92" s="172"/>
      <c r="AX92" s="172"/>
      <c r="AY92" s="172"/>
      <c r="AZ92" s="25"/>
      <c r="BB92" s="172"/>
      <c r="BC92" s="12"/>
      <c r="BD92" s="25"/>
    </row>
    <row r="93" spans="2:56" x14ac:dyDescent="0.2">
      <c r="C93" s="172"/>
      <c r="D93" s="24"/>
      <c r="G93" s="172"/>
      <c r="H93"/>
      <c r="I93"/>
      <c r="O93" s="25"/>
      <c r="P93" s="167"/>
      <c r="R93" s="167"/>
      <c r="U93" s="168"/>
      <c r="V93" s="172"/>
      <c r="W93" s="172"/>
      <c r="X93" s="172"/>
      <c r="Y93" s="172"/>
      <c r="AX93" s="172"/>
      <c r="AY93" s="172"/>
      <c r="AZ93" s="25"/>
      <c r="BB93" s="172"/>
      <c r="BC93" s="12"/>
      <c r="BD93" s="25"/>
    </row>
    <row r="94" spans="2:56" x14ac:dyDescent="0.2">
      <c r="B94" s="10"/>
      <c r="C94" s="172"/>
      <c r="D94" s="24"/>
      <c r="F94" s="172"/>
      <c r="G94" s="172"/>
      <c r="H94" s="172"/>
      <c r="O94" s="25"/>
      <c r="P94" s="167"/>
      <c r="R94" s="167"/>
      <c r="U94" s="168"/>
      <c r="V94" s="172"/>
      <c r="W94" s="172"/>
      <c r="X94" s="172"/>
      <c r="Y94" s="172"/>
      <c r="AX94" s="172"/>
      <c r="AY94" s="172"/>
      <c r="AZ94" s="25"/>
      <c r="BB94" s="172"/>
      <c r="BC94" s="12"/>
      <c r="BD94" s="25"/>
    </row>
    <row r="95" spans="2:56" x14ac:dyDescent="0.2">
      <c r="C95" s="172"/>
      <c r="D95" s="24"/>
      <c r="F95" s="172"/>
      <c r="G95" s="172"/>
      <c r="H95" s="172"/>
      <c r="O95" s="25"/>
      <c r="P95" s="167"/>
      <c r="R95" s="167"/>
      <c r="U95" s="168"/>
      <c r="V95" s="172"/>
      <c r="W95" s="172"/>
      <c r="X95" s="172"/>
      <c r="Y95" s="172"/>
      <c r="AX95" s="172"/>
      <c r="AY95" s="172"/>
      <c r="AZ95" s="25"/>
      <c r="BB95" s="172"/>
      <c r="BC95" s="12"/>
      <c r="BD95" s="25"/>
    </row>
    <row r="96" spans="2:56" x14ac:dyDescent="0.2">
      <c r="C96" s="24"/>
      <c r="D96" s="174"/>
      <c r="F96" s="172"/>
      <c r="G96" s="172"/>
      <c r="H96"/>
      <c r="I96"/>
      <c r="J96"/>
      <c r="K96"/>
      <c r="L96"/>
      <c r="M96"/>
      <c r="N96"/>
    </row>
    <row r="97" spans="3:14" x14ac:dyDescent="0.2">
      <c r="C97"/>
      <c r="D97" s="24"/>
      <c r="G97" s="172"/>
      <c r="H97"/>
      <c r="I97"/>
      <c r="J97"/>
      <c r="K97"/>
      <c r="L97"/>
      <c r="M97"/>
      <c r="N97"/>
    </row>
    <row r="98" spans="3:14" x14ac:dyDescent="0.2">
      <c r="C98"/>
      <c r="D98" s="24"/>
      <c r="F98" s="17"/>
      <c r="G98"/>
      <c r="H98" s="172">
        <f>SUM(G96:G98)</f>
        <v>0</v>
      </c>
      <c r="I98"/>
      <c r="J98"/>
      <c r="K98"/>
      <c r="L98"/>
      <c r="M98"/>
      <c r="N98"/>
    </row>
    <row r="99" spans="3:14" x14ac:dyDescent="0.2">
      <c r="C99"/>
      <c r="D99"/>
      <c r="E99" s="13"/>
      <c r="G99"/>
      <c r="H99"/>
      <c r="I99"/>
      <c r="J99"/>
      <c r="K99"/>
      <c r="L99"/>
      <c r="M99"/>
      <c r="N99"/>
    </row>
    <row r="100" spans="3:14" x14ac:dyDescent="0.2">
      <c r="C100"/>
      <c r="D100"/>
      <c r="G100"/>
      <c r="H100"/>
      <c r="I100"/>
      <c r="J100"/>
      <c r="K100"/>
      <c r="L100"/>
      <c r="M100"/>
      <c r="N100"/>
    </row>
  </sheetData>
  <mergeCells count="47">
    <mergeCell ref="AP6:AT6"/>
    <mergeCell ref="AP7:AP8"/>
    <mergeCell ref="AR7:AR8"/>
    <mergeCell ref="AS7:AS8"/>
    <mergeCell ref="AT7:AT8"/>
    <mergeCell ref="U6:U8"/>
    <mergeCell ref="H7:H8"/>
    <mergeCell ref="I7:I8"/>
    <mergeCell ref="J7:J8"/>
    <mergeCell ref="V6:Z6"/>
    <mergeCell ref="V7:V8"/>
    <mergeCell ref="X7:X8"/>
    <mergeCell ref="Y7:Y8"/>
    <mergeCell ref="Z7:Z8"/>
    <mergeCell ref="H6:K6"/>
    <mergeCell ref="L6:N6"/>
    <mergeCell ref="O6:P6"/>
    <mergeCell ref="Q6:R6"/>
    <mergeCell ref="S6:T6"/>
    <mergeCell ref="Q7:Q8"/>
    <mergeCell ref="R7:R8"/>
    <mergeCell ref="B6:B8"/>
    <mergeCell ref="C6:C8"/>
    <mergeCell ref="D6:D8"/>
    <mergeCell ref="E6:F8"/>
    <mergeCell ref="G6:G8"/>
    <mergeCell ref="S7:S8"/>
    <mergeCell ref="T7:T8"/>
    <mergeCell ref="L7:L8"/>
    <mergeCell ref="M7:M8"/>
    <mergeCell ref="O7:O8"/>
    <mergeCell ref="P7:P8"/>
    <mergeCell ref="AF6:AJ6"/>
    <mergeCell ref="AF7:AF8"/>
    <mergeCell ref="AJ7:AJ8"/>
    <mergeCell ref="AA6:AE6"/>
    <mergeCell ref="AA7:AA8"/>
    <mergeCell ref="AC7:AC8"/>
    <mergeCell ref="AD7:AD8"/>
    <mergeCell ref="AE7:AE8"/>
    <mergeCell ref="AH7:AH8"/>
    <mergeCell ref="AI7:AI8"/>
    <mergeCell ref="AK6:AO6"/>
    <mergeCell ref="AK7:AK8"/>
    <mergeCell ref="AM7:AM8"/>
    <mergeCell ref="AN7:AN8"/>
    <mergeCell ref="AO7:AO8"/>
  </mergeCells>
  <pageMargins left="0.9055118110236221" right="0" top="0.31496062992125984" bottom="0.31496062992125984" header="0.31496062992125984" footer="0.31496062992125984"/>
  <pageSetup paperSize="9" scale="58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Q30"/>
  <sheetViews>
    <sheetView tabSelected="1"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H9" sqref="H9"/>
    </sheetView>
  </sheetViews>
  <sheetFormatPr defaultRowHeight="10.199999999999999" x14ac:dyDescent="0.2"/>
  <cols>
    <col min="1" max="1" width="7" customWidth="1"/>
    <col min="2" max="2" width="9.140625" customWidth="1"/>
    <col min="3" max="3" width="32" customWidth="1"/>
    <col min="4" max="4" width="7.7109375" customWidth="1"/>
    <col min="5" max="5" width="18.140625" customWidth="1"/>
    <col min="6" max="6" width="14.85546875" customWidth="1"/>
    <col min="7" max="7" width="16.7109375" customWidth="1"/>
    <col min="8" max="8" width="17.85546875" customWidth="1"/>
    <col min="9" max="9" width="17" customWidth="1"/>
    <col min="10" max="10" width="17.28515625" customWidth="1"/>
    <col min="11" max="11" width="13.28515625" customWidth="1"/>
    <col min="12" max="13" width="13.7109375" customWidth="1"/>
    <col min="14" max="14" width="13.85546875" customWidth="1"/>
    <col min="15" max="16" width="13.42578125" customWidth="1"/>
    <col min="17" max="17" width="14.28515625" customWidth="1"/>
  </cols>
  <sheetData>
    <row r="2" spans="1:17" ht="13.8" x14ac:dyDescent="0.25">
      <c r="A2" s="384" t="s">
        <v>477</v>
      </c>
    </row>
    <row r="3" spans="1:17" ht="13.2" x14ac:dyDescent="0.25">
      <c r="A3" s="385" t="s">
        <v>72</v>
      </c>
    </row>
    <row r="4" spans="1:17" x14ac:dyDescent="0.2">
      <c r="A4" t="s">
        <v>482</v>
      </c>
    </row>
    <row r="7" spans="1:17" x14ac:dyDescent="0.2">
      <c r="E7" s="242" t="s">
        <v>272</v>
      </c>
      <c r="F7" s="243" t="s">
        <v>260</v>
      </c>
      <c r="G7" s="243" t="s">
        <v>261</v>
      </c>
      <c r="H7" s="243" t="s">
        <v>262</v>
      </c>
      <c r="I7" s="243" t="s">
        <v>263</v>
      </c>
      <c r="J7" s="243" t="s">
        <v>313</v>
      </c>
      <c r="K7" s="243" t="s">
        <v>314</v>
      </c>
      <c r="L7" s="243" t="s">
        <v>266</v>
      </c>
      <c r="M7" s="243" t="s">
        <v>267</v>
      </c>
      <c r="N7" s="243" t="s">
        <v>268</v>
      </c>
      <c r="O7" s="243" t="s">
        <v>315</v>
      </c>
      <c r="P7" s="243" t="s">
        <v>316</v>
      </c>
      <c r="Q7" s="243" t="s">
        <v>317</v>
      </c>
    </row>
    <row r="9" spans="1:17" x14ac:dyDescent="0.2">
      <c r="A9" s="7" t="s">
        <v>309</v>
      </c>
      <c r="B9" s="248" t="s">
        <v>71</v>
      </c>
      <c r="C9" s="200" t="s">
        <v>72</v>
      </c>
      <c r="D9" s="200" t="s">
        <v>312</v>
      </c>
      <c r="E9" s="246">
        <f t="shared" ref="E9:E10" si="0">SUM(F9:Q9)</f>
        <v>656800101.02076912</v>
      </c>
      <c r="F9" s="244">
        <f>+F12+F13+F15+F16</f>
        <v>57203299.043943495</v>
      </c>
      <c r="G9" s="244">
        <f t="shared" ref="G9:Q9" si="1">+G12+G13+G15+G16</f>
        <v>56075183.600518413</v>
      </c>
      <c r="H9" s="244">
        <f t="shared" si="1"/>
        <v>55690604.055063874</v>
      </c>
      <c r="I9" s="244">
        <f t="shared" si="1"/>
        <v>55214815.766775578</v>
      </c>
      <c r="J9" s="244">
        <f t="shared" si="1"/>
        <v>55165128.266775578</v>
      </c>
      <c r="K9" s="244">
        <f t="shared" si="1"/>
        <v>54798516.90984343</v>
      </c>
      <c r="L9" s="244">
        <f t="shared" si="1"/>
        <v>54391000.462475009</v>
      </c>
      <c r="M9" s="244">
        <f t="shared" si="1"/>
        <v>54338737.962475009</v>
      </c>
      <c r="N9" s="244">
        <f t="shared" si="1"/>
        <v>54057487.962475009</v>
      </c>
      <c r="O9" s="244">
        <f t="shared" si="1"/>
        <v>53430645.013757057</v>
      </c>
      <c r="P9" s="244">
        <f t="shared" si="1"/>
        <v>53363236.821666665</v>
      </c>
      <c r="Q9" s="244">
        <f t="shared" si="1"/>
        <v>53071445.155000001</v>
      </c>
    </row>
    <row r="10" spans="1:17" x14ac:dyDescent="0.2">
      <c r="A10" s="7"/>
      <c r="B10" s="248" t="s">
        <v>71</v>
      </c>
      <c r="C10" s="200" t="s">
        <v>72</v>
      </c>
      <c r="D10" s="200" t="s">
        <v>294</v>
      </c>
      <c r="E10" s="246">
        <f t="shared" si="0"/>
        <v>0</v>
      </c>
      <c r="F10" s="244">
        <f>+F14</f>
        <v>0</v>
      </c>
      <c r="G10" s="244">
        <f t="shared" ref="G10:Q10" si="2">+G14</f>
        <v>0</v>
      </c>
      <c r="H10" s="244">
        <f t="shared" si="2"/>
        <v>0</v>
      </c>
      <c r="I10" s="244">
        <f t="shared" si="2"/>
        <v>0</v>
      </c>
      <c r="J10" s="244">
        <f t="shared" si="2"/>
        <v>0</v>
      </c>
      <c r="K10" s="244">
        <f t="shared" si="2"/>
        <v>0</v>
      </c>
      <c r="L10" s="244">
        <f t="shared" si="2"/>
        <v>0</v>
      </c>
      <c r="M10" s="244">
        <f t="shared" si="2"/>
        <v>0</v>
      </c>
      <c r="N10" s="244">
        <f t="shared" si="2"/>
        <v>0</v>
      </c>
      <c r="O10" s="244">
        <f t="shared" si="2"/>
        <v>0</v>
      </c>
      <c r="P10" s="244">
        <f t="shared" si="2"/>
        <v>0</v>
      </c>
      <c r="Q10" s="244">
        <f t="shared" si="2"/>
        <v>0</v>
      </c>
    </row>
    <row r="11" spans="1:17" x14ac:dyDescent="0.2">
      <c r="A11" s="7"/>
      <c r="B11" s="248"/>
      <c r="C11" s="200"/>
      <c r="D11" s="200"/>
      <c r="E11" s="247">
        <f>+E9+E10</f>
        <v>656800101.02076912</v>
      </c>
      <c r="F11" s="245">
        <f>+F9+F10</f>
        <v>57203299.043943495</v>
      </c>
      <c r="G11" s="245">
        <f t="shared" ref="G11:Q11" si="3">+G9+G10</f>
        <v>56075183.600518413</v>
      </c>
      <c r="H11" s="245">
        <f t="shared" si="3"/>
        <v>55690604.055063874</v>
      </c>
      <c r="I11" s="245">
        <f t="shared" si="3"/>
        <v>55214815.766775578</v>
      </c>
      <c r="J11" s="245">
        <f t="shared" si="3"/>
        <v>55165128.266775578</v>
      </c>
      <c r="K11" s="245">
        <f t="shared" si="3"/>
        <v>54798516.90984343</v>
      </c>
      <c r="L11" s="245">
        <f t="shared" si="3"/>
        <v>54391000.462475009</v>
      </c>
      <c r="M11" s="245">
        <f t="shared" si="3"/>
        <v>54338737.962475009</v>
      </c>
      <c r="N11" s="245">
        <f t="shared" si="3"/>
        <v>54057487.962475009</v>
      </c>
      <c r="O11" s="245">
        <f t="shared" si="3"/>
        <v>53430645.013757057</v>
      </c>
      <c r="P11" s="245">
        <f t="shared" si="3"/>
        <v>53363236.821666665</v>
      </c>
      <c r="Q11" s="245">
        <f t="shared" si="3"/>
        <v>53071445.155000001</v>
      </c>
    </row>
    <row r="12" spans="1:17" x14ac:dyDescent="0.2">
      <c r="A12" s="7" t="s">
        <v>310</v>
      </c>
      <c r="B12" s="248" t="s">
        <v>16</v>
      </c>
      <c r="C12" s="200" t="s">
        <v>473</v>
      </c>
      <c r="D12" s="200" t="s">
        <v>312</v>
      </c>
      <c r="E12" s="246">
        <f>SUM(F12:Q12)</f>
        <v>148042768.26076916</v>
      </c>
      <c r="F12" s="244">
        <f>+Bangunan!AZ55</f>
        <v>14300641.105610162</v>
      </c>
      <c r="G12" s="244">
        <f>+Bangunan!BA55</f>
        <v>13395442.328851754</v>
      </c>
      <c r="H12" s="244">
        <f>+Bangunan!BB55</f>
        <v>13049987.783397209</v>
      </c>
      <c r="I12" s="244">
        <f>+Bangunan!BC55</f>
        <v>12574199.495108919</v>
      </c>
      <c r="J12" s="244">
        <f>+Bangunan!BD55</f>
        <v>12574199.495108919</v>
      </c>
      <c r="K12" s="244">
        <f>+Bangunan!BE55</f>
        <v>12207588.138176765</v>
      </c>
      <c r="L12" s="244">
        <f>+Bangunan!BF55</f>
        <v>11992675.857475011</v>
      </c>
      <c r="M12" s="244">
        <f>+Bangunan!BG55</f>
        <v>11992675.857475011</v>
      </c>
      <c r="N12" s="244">
        <f>+Bangunan!BH55</f>
        <v>11992675.857475011</v>
      </c>
      <c r="O12" s="244">
        <f>+Bangunan!BI55</f>
        <v>11365832.908757063</v>
      </c>
      <c r="P12" s="244">
        <f>+Bangunan!BJ55</f>
        <v>11298424.716666667</v>
      </c>
      <c r="Q12" s="244">
        <f>+Bangunan!BK55</f>
        <v>11298424.716666667</v>
      </c>
    </row>
    <row r="13" spans="1:17" x14ac:dyDescent="0.2">
      <c r="A13" s="6"/>
      <c r="B13" s="248" t="s">
        <v>20</v>
      </c>
      <c r="C13" s="200" t="s">
        <v>474</v>
      </c>
      <c r="D13" s="200" t="s">
        <v>312</v>
      </c>
      <c r="E13" s="246">
        <f t="shared" ref="E13:E16" si="4">SUM(F13:Q13)</f>
        <v>439090256.79166669</v>
      </c>
      <c r="F13" s="244">
        <f>+Kendaraan!BA50</f>
        <v>36888945.010416672</v>
      </c>
      <c r="G13" s="244">
        <f>+Kendaraan!BB50</f>
        <v>36666028.34375</v>
      </c>
      <c r="H13" s="244">
        <f>+Kendaraan!BC50</f>
        <v>36666028.34375</v>
      </c>
      <c r="I13" s="244">
        <f>+Kendaraan!BD50</f>
        <v>36666028.34375</v>
      </c>
      <c r="J13" s="244">
        <f>+Kendaraan!BE50</f>
        <v>36666028.34375</v>
      </c>
      <c r="K13" s="244">
        <f>+Kendaraan!BF50</f>
        <v>36666028.34375</v>
      </c>
      <c r="L13" s="244">
        <f>+Kendaraan!BG50</f>
        <v>36666028.34375</v>
      </c>
      <c r="M13" s="244">
        <f>+Kendaraan!BH50</f>
        <v>36666028.34375</v>
      </c>
      <c r="N13" s="244">
        <f>+Kendaraan!BI50</f>
        <v>36384778.34375</v>
      </c>
      <c r="O13" s="244">
        <f>+Kendaraan!BJ50</f>
        <v>36384778.34375</v>
      </c>
      <c r="P13" s="244">
        <f>+Kendaraan!BK50</f>
        <v>36384778.34375</v>
      </c>
      <c r="Q13" s="244">
        <f>+Kendaraan!BL50</f>
        <v>36384778.34375</v>
      </c>
    </row>
    <row r="14" spans="1:17" x14ac:dyDescent="0.2">
      <c r="A14" s="6"/>
      <c r="B14" s="248" t="s">
        <v>20</v>
      </c>
      <c r="C14" s="200" t="s">
        <v>474</v>
      </c>
      <c r="D14" s="200" t="s">
        <v>294</v>
      </c>
      <c r="E14" s="246">
        <f t="shared" si="4"/>
        <v>0</v>
      </c>
      <c r="F14" s="244">
        <f>+Kendaraan!BA62</f>
        <v>0</v>
      </c>
      <c r="G14" s="244">
        <f>+Kendaraan!BB62</f>
        <v>0</v>
      </c>
      <c r="H14" s="244">
        <f>+Kendaraan!BC62</f>
        <v>0</v>
      </c>
      <c r="I14" s="244">
        <f>+Kendaraan!BD62</f>
        <v>0</v>
      </c>
      <c r="J14" s="244">
        <f>+Kendaraan!BE62</f>
        <v>0</v>
      </c>
      <c r="K14" s="244">
        <f>+Kendaraan!BF62</f>
        <v>0</v>
      </c>
      <c r="L14" s="244">
        <f>+Kendaraan!BG62</f>
        <v>0</v>
      </c>
      <c r="M14" s="244">
        <f>+Kendaraan!BH62</f>
        <v>0</v>
      </c>
      <c r="N14" s="244">
        <f>+Kendaraan!BI62</f>
        <v>0</v>
      </c>
      <c r="O14" s="244">
        <f>+Kendaraan!BJ62</f>
        <v>0</v>
      </c>
      <c r="P14" s="244">
        <f>+Kendaraan!BK62</f>
        <v>0</v>
      </c>
      <c r="Q14" s="244">
        <f>+Kendaraan!BL62</f>
        <v>0</v>
      </c>
    </row>
    <row r="15" spans="1:17" x14ac:dyDescent="0.2">
      <c r="A15" s="6"/>
      <c r="B15" s="248" t="s">
        <v>18</v>
      </c>
      <c r="C15" s="200" t="s">
        <v>475</v>
      </c>
      <c r="D15" s="200" t="s">
        <v>312</v>
      </c>
      <c r="E15" s="246">
        <f t="shared" si="4"/>
        <v>46112368.083333336</v>
      </c>
      <c r="F15" s="244">
        <f>+'Perl. Kantor'!AW214</f>
        <v>4017695.6041666665</v>
      </c>
      <c r="G15" s="244">
        <f>+'Perl. Kantor'!AX214</f>
        <v>4017695.6041666665</v>
      </c>
      <c r="H15" s="244">
        <f>+'Perl. Kantor'!AY214</f>
        <v>3978570.6041666665</v>
      </c>
      <c r="I15" s="244">
        <f>+'Perl. Kantor'!AZ214</f>
        <v>3978570.6041666665</v>
      </c>
      <c r="J15" s="244">
        <f>+'Perl. Kantor'!BA214</f>
        <v>3978570.6041666665</v>
      </c>
      <c r="K15" s="244">
        <f>+'Perl. Kantor'!BB214</f>
        <v>3978570.6041666665</v>
      </c>
      <c r="L15" s="244">
        <f>+'Perl. Kantor'!BC214</f>
        <v>3785966.4375</v>
      </c>
      <c r="M15" s="244">
        <f>+'Perl. Kantor'!BD214</f>
        <v>3733703.9375</v>
      </c>
      <c r="N15" s="244">
        <f>+'Perl. Kantor'!BE214</f>
        <v>3733703.9375</v>
      </c>
      <c r="O15" s="244">
        <f>+'Perl. Kantor'!BF214</f>
        <v>3733703.9375</v>
      </c>
      <c r="P15" s="244">
        <f>+'Perl. Kantor'!BG214</f>
        <v>3733703.9375</v>
      </c>
      <c r="Q15" s="244">
        <f>+'Perl. Kantor'!BH214</f>
        <v>3441912.2708333335</v>
      </c>
    </row>
    <row r="16" spans="1:17" x14ac:dyDescent="0.2">
      <c r="A16" s="6"/>
      <c r="B16" s="248" t="s">
        <v>311</v>
      </c>
      <c r="C16" s="200" t="s">
        <v>476</v>
      </c>
      <c r="D16" s="200" t="s">
        <v>312</v>
      </c>
      <c r="E16" s="246">
        <f t="shared" si="4"/>
        <v>23554707.885000002</v>
      </c>
      <c r="F16" s="244">
        <f>+'Perl. Bengkel'!AW71</f>
        <v>1996017.32375</v>
      </c>
      <c r="G16" s="244">
        <f>+'Perl. Bengkel'!AX71</f>
        <v>1996017.32375</v>
      </c>
      <c r="H16" s="244">
        <f>+'Perl. Bengkel'!AY71</f>
        <v>1996017.32375</v>
      </c>
      <c r="I16" s="244">
        <f>+'Perl. Bengkel'!AZ71</f>
        <v>1996017.32375</v>
      </c>
      <c r="J16" s="244">
        <f>+'Perl. Bengkel'!BA71</f>
        <v>1946329.82375</v>
      </c>
      <c r="K16" s="244">
        <f>+'Perl. Bengkel'!BB71</f>
        <v>1946329.82375</v>
      </c>
      <c r="L16" s="244">
        <f>+'Perl. Bengkel'!BC71</f>
        <v>1946329.82375</v>
      </c>
      <c r="M16" s="244">
        <f>+'Perl. Bengkel'!BD71</f>
        <v>1946329.82375</v>
      </c>
      <c r="N16" s="244">
        <f>+'Perl. Bengkel'!BE71</f>
        <v>1946329.82375</v>
      </c>
      <c r="O16" s="244">
        <f>+'Perl. Bengkel'!BF71</f>
        <v>1946329.82375</v>
      </c>
      <c r="P16" s="244">
        <f>+'Perl. Bengkel'!BG71</f>
        <v>1946329.82375</v>
      </c>
      <c r="Q16" s="244">
        <f>+'Perl. Bengkel'!BH71</f>
        <v>1946329.82375</v>
      </c>
    </row>
    <row r="17" spans="1:17" x14ac:dyDescent="0.2">
      <c r="A17" s="6"/>
      <c r="B17" s="200"/>
      <c r="C17" s="200"/>
      <c r="D17" s="200"/>
      <c r="E17" s="247">
        <f>SUM(E12:E16)</f>
        <v>656800101.02076924</v>
      </c>
      <c r="F17" s="245">
        <f>SUM(F12:F16)</f>
        <v>57203299.043943495</v>
      </c>
      <c r="G17" s="245">
        <f t="shared" ref="G17:Q17" si="5">SUM(G12:G16)</f>
        <v>56075183.600518413</v>
      </c>
      <c r="H17" s="245">
        <f t="shared" si="5"/>
        <v>55690604.055063874</v>
      </c>
      <c r="I17" s="245">
        <f t="shared" si="5"/>
        <v>55214815.766775578</v>
      </c>
      <c r="J17" s="245">
        <f t="shared" si="5"/>
        <v>55165128.266775578</v>
      </c>
      <c r="K17" s="245">
        <f t="shared" si="5"/>
        <v>54798516.90984343</v>
      </c>
      <c r="L17" s="245">
        <f t="shared" si="5"/>
        <v>54391000.462475009</v>
      </c>
      <c r="M17" s="245">
        <f t="shared" si="5"/>
        <v>54338737.962475009</v>
      </c>
      <c r="N17" s="245">
        <f t="shared" si="5"/>
        <v>54057487.962475009</v>
      </c>
      <c r="O17" s="245">
        <f t="shared" si="5"/>
        <v>53430645.013757057</v>
      </c>
      <c r="P17" s="245">
        <f t="shared" si="5"/>
        <v>53363236.821666665</v>
      </c>
      <c r="Q17" s="245">
        <f t="shared" si="5"/>
        <v>53071445.155000001</v>
      </c>
    </row>
    <row r="20" spans="1:17" x14ac:dyDescent="0.2">
      <c r="C20" s="6" t="s">
        <v>483</v>
      </c>
      <c r="E20" s="289" t="s">
        <v>368</v>
      </c>
      <c r="F20" s="289" t="s">
        <v>369</v>
      </c>
      <c r="G20" s="289" t="s">
        <v>370</v>
      </c>
      <c r="H20" s="289" t="s">
        <v>371</v>
      </c>
      <c r="I20" s="289" t="s">
        <v>370</v>
      </c>
    </row>
    <row r="22" spans="1:17" x14ac:dyDescent="0.2">
      <c r="C22" s="6" t="s">
        <v>13</v>
      </c>
      <c r="E22" s="225">
        <f>+Tanah!N34</f>
        <v>17934062500</v>
      </c>
      <c r="F22" s="6">
        <v>0</v>
      </c>
      <c r="G22" s="311">
        <v>0</v>
      </c>
      <c r="H22" s="225">
        <f>+Tanah!N34</f>
        <v>17934062500</v>
      </c>
      <c r="I22" s="225">
        <f>+F22+G22</f>
        <v>0</v>
      </c>
      <c r="J22" s="225">
        <f>+E22-I22</f>
        <v>17934062500</v>
      </c>
    </row>
    <row r="23" spans="1:17" x14ac:dyDescent="0.2">
      <c r="C23" s="6" t="s">
        <v>6</v>
      </c>
      <c r="E23" s="225">
        <f>+Bangunan!N55</f>
        <v>3712136932</v>
      </c>
      <c r="F23" s="225">
        <f>+Bangunan!AU55</f>
        <v>148042768.26076916</v>
      </c>
      <c r="G23" s="225">
        <f>+Bangunan!AV55</f>
        <v>1617241158.1666667</v>
      </c>
      <c r="H23" s="225">
        <f>+Bangunan!AW55</f>
        <v>2094895773.8333333</v>
      </c>
      <c r="I23" s="225">
        <f>+F23+G23</f>
        <v>1765283926.4274359</v>
      </c>
      <c r="J23" s="225">
        <f t="shared" ref="J23:J26" si="6">+E23-I23</f>
        <v>1946853005.5725641</v>
      </c>
    </row>
    <row r="24" spans="1:17" x14ac:dyDescent="0.2">
      <c r="C24" s="6" t="s">
        <v>372</v>
      </c>
      <c r="E24" s="225">
        <f>+'Perl. Kantor'!N214</f>
        <v>959181516</v>
      </c>
      <c r="F24" s="225">
        <f>+'Perl. Kantor'!AR214</f>
        <v>46112368.083333336</v>
      </c>
      <c r="G24" s="225">
        <f>+'Perl. Kantor'!AS214</f>
        <v>891750125.45833337</v>
      </c>
      <c r="H24" s="225">
        <f>+'Perl. Kantor'!AT214</f>
        <v>67431390.541666657</v>
      </c>
      <c r="I24" s="225">
        <f t="shared" ref="I24:I26" si="7">+F24+G24</f>
        <v>937862493.54166675</v>
      </c>
      <c r="J24" s="225">
        <f t="shared" si="6"/>
        <v>21319022.458333254</v>
      </c>
    </row>
    <row r="25" spans="1:17" x14ac:dyDescent="0.2">
      <c r="C25" s="6" t="s">
        <v>373</v>
      </c>
      <c r="E25" s="225">
        <f>+'Perl. Bengkel'!N71</f>
        <v>221324363.07999998</v>
      </c>
      <c r="F25" s="225">
        <f>+'Perl. Bengkel'!AR71</f>
        <v>23554707.884999998</v>
      </c>
      <c r="G25" s="225">
        <f>+'Perl. Bengkel'!AS71</f>
        <v>154479764.59916669</v>
      </c>
      <c r="H25" s="225">
        <f>+'Perl. Bengkel'!AT71</f>
        <v>66844598.480833337</v>
      </c>
      <c r="I25" s="225">
        <f t="shared" si="7"/>
        <v>178034472.48416668</v>
      </c>
      <c r="J25" s="225">
        <f t="shared" si="6"/>
        <v>43289890.595833302</v>
      </c>
    </row>
    <row r="26" spans="1:17" x14ac:dyDescent="0.2">
      <c r="C26" s="6" t="s">
        <v>5</v>
      </c>
      <c r="E26" s="225">
        <f>+Kendaraan!L75</f>
        <v>5223064476</v>
      </c>
      <c r="F26" s="225">
        <f>+Kendaraan!AV75</f>
        <v>439090256.79166669</v>
      </c>
      <c r="G26" s="225">
        <f>+Kendaraan!AW75</f>
        <v>3078050010.125</v>
      </c>
      <c r="H26" s="225">
        <f>+Kendaraan!AX75</f>
        <v>2145014465.875</v>
      </c>
      <c r="I26" s="225">
        <f t="shared" si="7"/>
        <v>3517140266.9166665</v>
      </c>
      <c r="J26" s="225">
        <f t="shared" si="6"/>
        <v>1705924209.0833335</v>
      </c>
    </row>
    <row r="27" spans="1:17" x14ac:dyDescent="0.2">
      <c r="E27" s="6"/>
      <c r="F27" s="6"/>
      <c r="G27" s="6"/>
      <c r="H27" s="6"/>
      <c r="I27" s="6"/>
      <c r="J27" s="6"/>
    </row>
    <row r="28" spans="1:17" x14ac:dyDescent="0.2">
      <c r="E28" s="321">
        <f>SUM(E22:E27)</f>
        <v>28049769787.080002</v>
      </c>
      <c r="F28" s="311">
        <f>SUM(F22:F27)</f>
        <v>656800101.02076912</v>
      </c>
      <c r="G28" s="225">
        <f t="shared" ref="G28:H28" si="8">SUM(G22:G27)</f>
        <v>5741521058.3491669</v>
      </c>
      <c r="H28" s="225">
        <f t="shared" si="8"/>
        <v>22308248728.730835</v>
      </c>
      <c r="I28" s="322">
        <f>SUM(I22:I27)</f>
        <v>6398321159.369936</v>
      </c>
      <c r="J28" s="323">
        <f t="shared" ref="J28" si="9">SUM(J22:J27)</f>
        <v>21651448627.71006</v>
      </c>
    </row>
    <row r="30" spans="1:17" x14ac:dyDescent="0.2">
      <c r="F30" s="320">
        <f>+E9+E10</f>
        <v>656800101.02076912</v>
      </c>
    </row>
  </sheetData>
  <pageMargins left="7.874015748031496E-2" right="0" top="0.74803149606299213" bottom="0.74803149606299213" header="0.31496062992125984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Kendaraan</vt:lpstr>
      <vt:lpstr>Bangunan</vt:lpstr>
      <vt:lpstr>Tanah</vt:lpstr>
      <vt:lpstr>Perl. Kantor</vt:lpstr>
      <vt:lpstr>Perl. Bengkel</vt:lpstr>
      <vt:lpstr>JURNAL</vt:lpstr>
      <vt:lpstr>Bangunan!Print_Area</vt:lpstr>
      <vt:lpstr>JURNAL!Print_Area</vt:lpstr>
      <vt:lpstr>Kendaraan!Print_Area</vt:lpstr>
      <vt:lpstr>'Perl. Bengkel'!Print_Area</vt:lpstr>
      <vt:lpstr>'Perl. Kantor'!Print_Area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</dc:creator>
  <cp:lastModifiedBy>USer</cp:lastModifiedBy>
  <cp:lastPrinted>2026-01-05T06:02:28Z</cp:lastPrinted>
  <dcterms:created xsi:type="dcterms:W3CDTF">2019-10-01T09:59:52Z</dcterms:created>
  <dcterms:modified xsi:type="dcterms:W3CDTF">2026-06-19T15:55:32Z</dcterms:modified>
</cp:coreProperties>
</file>